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admin\AI_AntiFraud\app\"/>
    </mc:Choice>
  </mc:AlternateContent>
  <xr:revisionPtr revIDLastSave="0" documentId="8_{B5B70A77-60EB-4B5D-BB57-EDD14B2038D2}" xr6:coauthVersionLast="36" xr6:coauthVersionMax="36" xr10:uidLastSave="{00000000-0000-0000-0000-000000000000}"/>
  <bookViews>
    <workbookView xWindow="0" yWindow="0" windowWidth="15360" windowHeight="7500" xr2:uid="{00000000-000D-0000-FFFF-FFFF00000000}"/>
  </bookViews>
  <sheets>
    <sheet name="測試資料集" sheetId="1" r:id="rId1"/>
    <sheet name="統計儀表板" sheetId="2" r:id="rId2"/>
    <sheet name="欄位說明" sheetId="3" r:id="rId3"/>
  </sheets>
  <calcPr calcId="179021"/>
</workbook>
</file>

<file path=xl/calcChain.xml><?xml version="1.0" encoding="utf-8"?>
<calcChain xmlns="http://schemas.openxmlformats.org/spreadsheetml/2006/main">
  <c r="B22" i="2" l="1"/>
  <c r="B21" i="2"/>
  <c r="B20" i="2"/>
  <c r="B19" i="2"/>
  <c r="B18" i="2"/>
  <c r="B17" i="2"/>
  <c r="B16" i="2"/>
  <c r="B15" i="2"/>
  <c r="B11" i="2"/>
  <c r="B9" i="2"/>
  <c r="F7" i="2"/>
  <c r="B7" i="2"/>
  <c r="F6" i="2"/>
  <c r="B6" i="2"/>
  <c r="F5" i="2"/>
  <c r="B5" i="2"/>
  <c r="F4" i="2"/>
  <c r="B4" i="2"/>
  <c r="M101" i="1"/>
  <c r="I101" i="1"/>
  <c r="M100" i="1"/>
  <c r="I100" i="1"/>
  <c r="M99" i="1"/>
  <c r="I99" i="1"/>
  <c r="M98" i="1"/>
  <c r="I98" i="1"/>
  <c r="M97" i="1"/>
  <c r="I97" i="1"/>
  <c r="M96" i="1"/>
  <c r="I96" i="1"/>
  <c r="M95" i="1"/>
  <c r="I95" i="1"/>
  <c r="M94" i="1"/>
  <c r="I94" i="1"/>
  <c r="M93" i="1"/>
  <c r="I93" i="1"/>
  <c r="M92" i="1"/>
  <c r="I92" i="1"/>
  <c r="M91" i="1"/>
  <c r="I91" i="1"/>
  <c r="M90" i="1"/>
  <c r="I90" i="1"/>
  <c r="M89" i="1"/>
  <c r="I89" i="1"/>
  <c r="M88" i="1"/>
  <c r="I88" i="1"/>
  <c r="M87" i="1"/>
  <c r="I87" i="1"/>
  <c r="M86" i="1"/>
  <c r="I86" i="1"/>
  <c r="M85" i="1"/>
  <c r="I85" i="1"/>
  <c r="M84" i="1"/>
  <c r="I84" i="1"/>
  <c r="M83" i="1"/>
  <c r="I83" i="1"/>
  <c r="M82" i="1"/>
  <c r="I82" i="1"/>
  <c r="M81" i="1"/>
  <c r="I81" i="1"/>
  <c r="M80" i="1"/>
  <c r="I80" i="1"/>
  <c r="M79" i="1"/>
  <c r="I79" i="1"/>
  <c r="M78" i="1"/>
  <c r="I78" i="1"/>
  <c r="M77" i="1"/>
  <c r="I77" i="1"/>
  <c r="M76" i="1"/>
  <c r="I76" i="1"/>
  <c r="M75" i="1"/>
  <c r="I75" i="1"/>
  <c r="M74" i="1"/>
  <c r="I74" i="1"/>
  <c r="M73" i="1"/>
  <c r="I73" i="1"/>
  <c r="M72" i="1"/>
  <c r="I72" i="1"/>
  <c r="M71" i="1"/>
  <c r="I71" i="1"/>
  <c r="M70" i="1"/>
  <c r="I70" i="1"/>
  <c r="M69" i="1"/>
  <c r="I69" i="1"/>
  <c r="M68" i="1"/>
  <c r="I68" i="1"/>
  <c r="M67" i="1"/>
  <c r="I67" i="1"/>
  <c r="M66" i="1"/>
  <c r="I66" i="1"/>
  <c r="M65" i="1"/>
  <c r="I65" i="1"/>
  <c r="M64" i="1"/>
  <c r="I64" i="1"/>
  <c r="M63" i="1"/>
  <c r="I63" i="1"/>
  <c r="M62" i="1"/>
  <c r="I62" i="1"/>
  <c r="M61" i="1"/>
  <c r="I61" i="1"/>
  <c r="M60" i="1"/>
  <c r="I60" i="1"/>
  <c r="M59" i="1"/>
  <c r="I59" i="1"/>
  <c r="M58" i="1"/>
  <c r="I58" i="1"/>
  <c r="M57" i="1"/>
  <c r="I57" i="1"/>
  <c r="M56" i="1"/>
  <c r="I56" i="1"/>
  <c r="M55" i="1"/>
  <c r="I55" i="1"/>
  <c r="M54" i="1"/>
  <c r="I54" i="1"/>
  <c r="M53" i="1"/>
  <c r="I53" i="1"/>
  <c r="M52" i="1"/>
  <c r="I52" i="1"/>
  <c r="B10" i="2" s="1"/>
  <c r="M51" i="1"/>
  <c r="I51" i="1"/>
  <c r="M50" i="1"/>
  <c r="I50" i="1"/>
  <c r="M49" i="1"/>
  <c r="I49" i="1"/>
  <c r="M48" i="1"/>
  <c r="I48" i="1"/>
  <c r="M47" i="1"/>
  <c r="I47" i="1"/>
  <c r="M46" i="1"/>
  <c r="I46" i="1"/>
  <c r="M45" i="1"/>
  <c r="I45" i="1"/>
  <c r="M44" i="1"/>
  <c r="I44" i="1"/>
  <c r="M43" i="1"/>
  <c r="I43" i="1"/>
  <c r="M42" i="1"/>
  <c r="I42" i="1"/>
  <c r="M41" i="1"/>
  <c r="I41" i="1"/>
  <c r="M40" i="1"/>
  <c r="I40" i="1"/>
  <c r="M39" i="1"/>
  <c r="I39" i="1"/>
  <c r="M38" i="1"/>
  <c r="I38" i="1"/>
  <c r="M37" i="1"/>
  <c r="I37" i="1"/>
  <c r="M36" i="1"/>
  <c r="I36" i="1"/>
  <c r="M35" i="1"/>
  <c r="I35" i="1"/>
  <c r="M34" i="1"/>
  <c r="I34" i="1"/>
  <c r="M33" i="1"/>
  <c r="I33" i="1"/>
  <c r="M32" i="1"/>
  <c r="I32" i="1"/>
  <c r="M31" i="1"/>
  <c r="I31" i="1"/>
  <c r="M30" i="1"/>
  <c r="I30" i="1"/>
  <c r="M29" i="1"/>
  <c r="I29" i="1"/>
  <c r="M28" i="1"/>
  <c r="I28" i="1"/>
  <c r="M27" i="1"/>
  <c r="I27" i="1"/>
  <c r="M26" i="1"/>
  <c r="I26" i="1"/>
  <c r="M25" i="1"/>
  <c r="I25" i="1"/>
  <c r="M24" i="1"/>
  <c r="I24" i="1"/>
  <c r="M23" i="1"/>
  <c r="I23" i="1"/>
  <c r="M22" i="1"/>
  <c r="I22" i="1"/>
  <c r="M21" i="1"/>
  <c r="I21" i="1"/>
  <c r="M20" i="1"/>
  <c r="I20" i="1"/>
  <c r="M19" i="1"/>
  <c r="I19" i="1"/>
  <c r="M18" i="1"/>
  <c r="I18" i="1"/>
  <c r="M17" i="1"/>
  <c r="I17" i="1"/>
  <c r="M16" i="1"/>
  <c r="I16" i="1"/>
  <c r="M15" i="1"/>
  <c r="I15" i="1"/>
  <c r="M14" i="1"/>
  <c r="I14" i="1"/>
  <c r="M13" i="1"/>
  <c r="I13" i="1"/>
  <c r="M12" i="1"/>
  <c r="I12" i="1"/>
  <c r="M11" i="1"/>
  <c r="I11" i="1"/>
  <c r="M10" i="1"/>
  <c r="I10" i="1"/>
  <c r="M9" i="1"/>
  <c r="I9" i="1"/>
  <c r="M8" i="1"/>
  <c r="I8" i="1"/>
  <c r="M7" i="1"/>
  <c r="I7" i="1"/>
  <c r="M6" i="1"/>
  <c r="I6" i="1"/>
  <c r="M5" i="1"/>
  <c r="I5" i="1"/>
  <c r="M4" i="1"/>
  <c r="I4" i="1"/>
  <c r="M3" i="1"/>
  <c r="I3" i="1"/>
  <c r="M2" i="1"/>
  <c r="I2" i="1"/>
  <c r="B8" i="2" s="1"/>
</calcChain>
</file>

<file path=xl/sharedStrings.xml><?xml version="1.0" encoding="utf-8"?>
<sst xmlns="http://schemas.openxmlformats.org/spreadsheetml/2006/main" count="913" uniqueCount="298">
  <si>
    <t>編號</t>
  </si>
  <si>
    <t>資料類型</t>
  </si>
  <si>
    <t>內容/網址/文字</t>
  </si>
  <si>
    <t>真實標籤</t>
  </si>
  <si>
    <t>詐騙類型</t>
  </si>
  <si>
    <t>預期風險等級</t>
  </si>
  <si>
    <t>系統判斷</t>
  </si>
  <si>
    <t>系統分數</t>
  </si>
  <si>
    <t>是否判斷正確</t>
  </si>
  <si>
    <t>分析時間(秒)</t>
  </si>
  <si>
    <t>高風險是否攔截</t>
  </si>
  <si>
    <t>家屬通知是否成功</t>
  </si>
  <si>
    <t>誤判類型</t>
  </si>
  <si>
    <t>資料來源</t>
  </si>
  <si>
    <t>測試日期</t>
  </si>
  <si>
    <t>測試人員</t>
  </si>
  <si>
    <t>系統理由/備註</t>
  </si>
  <si>
    <t>T001</t>
  </si>
  <si>
    <t>詐騙簡訊</t>
  </si>
  <si>
    <t>衛生福利部通知：您已符合本年度長照2.0專案加碼資格，請立即點擊 [網址] 登錄 [姓名] 帳戶領取。</t>
  </si>
  <si>
    <t>詐騙</t>
  </si>
  <si>
    <t>假長照補助金</t>
  </si>
  <si>
    <t>高風險</t>
  </si>
  <si>
    <t>自製模擬</t>
  </si>
  <si>
    <t>2026-05-10</t>
  </si>
  <si>
    <t>T002</t>
  </si>
  <si>
    <t>[姓名]長輩您好，您的長照補.助金50000元已核發，請加LINE [手機號碼] 聯繫專員提領。</t>
  </si>
  <si>
    <t>T003</t>
  </si>
  <si>
    <t>提醒您，第三季居家照護津貼尚未領取，請於今日內至 [網址] 確認您的銀行帳戶資料。</t>
  </si>
  <si>
    <t>T004</t>
  </si>
  <si>
    <t>健保局公告：因系統升級，您的長照補貼匯欵失敗，請速點 [網址] 重新綁定。</t>
  </si>
  <si>
    <t>T005</t>
  </si>
  <si>
    <t>【政府專案】恭喜獲得免費輪椅與每月8000元補助！請將身分證與存摺拍照發送至此號碼 [手機號碼]。</t>
  </si>
  <si>
    <t>T006</t>
  </si>
  <si>
    <t>[姓名]先生/女士，您的長照居家服務時數可折現！請點擊 [網址] 填寫帳.戶進行提撥。</t>
  </si>
  <si>
    <t>T007</t>
  </si>
  <si>
    <t>社會局溫馨提示：您的敬老卡津貼發生異常，請聯絡 [手機號碼] 進行解鎖以利後續撥款。</t>
  </si>
  <si>
    <t>T008</t>
  </si>
  <si>
    <t>專屬老人津貼發放通知：金額已達上限，點擊 [網址] 快速入帳互，逾期視同放棄。</t>
  </si>
  <si>
    <t>T009</t>
  </si>
  <si>
    <t>[姓名] 您好，您昨日於門診的批價系統發生重複扣款錯誤，請聯絡財務部 [手機號碼] 辦理退費。</t>
  </si>
  <si>
    <t>假醫院批價異常</t>
  </si>
  <si>
    <t>T010</t>
  </si>
  <si>
    <t>臺大醫院通知：您的醫藥費結帳異常，系統將每月自動扣款，請點擊 [網址] 立即取消設定。</t>
  </si>
  <si>
    <t>T011</t>
  </si>
  <si>
    <t>提醒：您的住院保證金50000元尚未退還，請提供 [姓名] 的提款卡密碼以利人工核對退款。</t>
  </si>
  <si>
    <t>T012</t>
  </si>
  <si>
    <t>批價處緊急通知：[姓名]的健保卡使用違規，即將鎖卡。請加LINE [手機號碼] 繳納罰金解除限制。</t>
  </si>
  <si>
    <t>T013</t>
  </si>
  <si>
    <t>您好，這裡是醫.院帳務科，您上週的掛號費因系統當機多扣了兩千元，請至ATM操作退還至您的帳戶。</t>
  </si>
  <si>
    <t>T014</t>
  </si>
  <si>
    <t>榮總系統警告：健保核銷失敗，請於24小時內至 [網址] 補繳差額，否則將影響您的就醫權益。</t>
  </si>
  <si>
    <t>T015</t>
  </si>
  <si>
    <t>[姓名]家屬您好，急診室通知有一筆3萬元的自費項目尚未結清，請盡速滙款至指定帳號 [網址]。</t>
  </si>
  <si>
    <t>T016</t>
  </si>
  <si>
    <t>【醫院客服】您的醫療分期付款設定錯誤，請於今晚12點前撥打 [手機號碼] 聯繫銀行專員解除分期。</t>
  </si>
  <si>
    <t>T017</t>
  </si>
  <si>
    <t>爸，我剛出車禍現在在急診室，手機剛借護理師的，快匯手術費8萬到這個帳戶 [網址]，急！！！</t>
  </si>
  <si>
    <t>假親友借醫療費</t>
  </si>
  <si>
    <t>T018</t>
  </si>
  <si>
    <t>媽，我是[姓名]，我的門號換了。我現在人在醫院要先墊住院費，先幫我轉5萬到 [手機號碼] 綁定的帳號。</t>
  </si>
  <si>
    <t>T019</t>
  </si>
  <si>
    <t>爺爺，我騎車撞到人，對方要求馬上賠償醫藥費才不報警，快幫我匯款到 [網址]，不要跟爸媽說。</t>
  </si>
  <si>
    <t>T020</t>
  </si>
  <si>
    <t>叔叔，我突發急性盲腸炎要馬上開刀，保險還沒下來，能先借我10萬嗎？我的新帳.戶是這一個。</t>
  </si>
  <si>
    <t>T021</t>
  </si>
  <si>
    <t>阿嬤，我被隔離在醫院沒辦法去提錢，急需買自費特效藥，趕快匯款3萬元救我！[網址]</t>
  </si>
  <si>
    <t>T022</t>
  </si>
  <si>
    <t>爸，護工的錢我這邊暫時付不出來，你先用你的網銀轉帳兩萬五到這個臨時帳互 [手機號碼]。</t>
  </si>
  <si>
    <t>T023</t>
  </si>
  <si>
    <t>姑姑，我是[姓名]，我朋友重病急需借錢動手術，你可以先幫我轉賬到他的帳戶嗎？明天馬上還你。</t>
  </si>
  <si>
    <t>T024</t>
  </si>
  <si>
    <t>媽！我心臟病發在急救，急需一筆保證金才能動刀！這是我朋友的帳號，快匯款！[網址]</t>
  </si>
  <si>
    <t>T025</t>
  </si>
  <si>
    <t>您好，您的日本進口高血壓保建食品包裹因地址不全無法投遞，請點擊支付欠缺運費60元： [網址]</t>
  </si>
  <si>
    <t>假物流 / 包裹補繳運費</t>
  </si>
  <si>
    <t>T026</t>
  </si>
  <si>
    <t>【黑貓宅急便】[姓名]您的輪椅輔具配送失敗，請於今日內至 [網址] 補繳海關稅費，否則將銷毀。</t>
  </si>
  <si>
    <t>T027</t>
  </si>
  <si>
    <t>提醒您，您訂購的糖尿病專用營養品因體積超材，需補收物流處理費150元，請點擊 [網址] 完成刷卡。</t>
  </si>
  <si>
    <t>T028</t>
  </si>
  <si>
    <t>郵局包裹通知：您有一件來自國外的健康檢測儀器待領取，請加客服LINE [手機號碼] 支付關稅。</t>
  </si>
  <si>
    <t>T029</t>
  </si>
  <si>
    <t>您的包裹已抵達集運倉，但因收件人 [姓名] 資訊有誤暫停發貨，請至 [網址] 更新資訊並支付二次運費。</t>
  </si>
  <si>
    <t>T030</t>
  </si>
  <si>
    <t>順豐速運：您的藥品包裹因未實名認證遭到扣留，請點擊 [網址] 填寫身分證字號並繳納認證費。</t>
  </si>
  <si>
    <t>T031</t>
  </si>
  <si>
    <t>詐騙網站文字</t>
  </si>
  <si>
    <t>日本百年藥廠最新研發！三日治癒糖尿病，高血壓完全根治！現在訂購享一折優惠，數量有限售完為止！</t>
  </si>
  <si>
    <t>假網購特效保健食品</t>
  </si>
  <si>
    <t>T032</t>
  </si>
  <si>
    <t>諾貝爾獎團隊強推！無論白內障還是青光眼，滴了這罐「神明眼藥水」三天重見光明，不用開刀！</t>
  </si>
  <si>
    <t>T033</t>
  </si>
  <si>
    <t>美國FDA認證奇蹟生髮水，禿頭7天長出濃密黑髮！無效退費！今天下單買一送三，限時搶購中：[網址]</t>
  </si>
  <si>
    <t>T034</t>
  </si>
  <si>
    <t>膝蓋痛、關節退化有救了！祖傳百年黑藥膏，貼上馬上能跑步！80歲阿公見證奇蹟，點擊立即訂購！</t>
  </si>
  <si>
    <t>T035</t>
  </si>
  <si>
    <t>血管清道夫！吃一顆血管馬上通暢，預防中風、心肌梗塞，終結洗腎命運！[銀行名稱] 獨家贊助免運費！</t>
  </si>
  <si>
    <t>T036</t>
  </si>
  <si>
    <t>德國黑科技護腰！戴上十分鐘告別長年腰痛坐骨神經痛，遠紅外線深層治療！原價8000今日只要998！</t>
  </si>
  <si>
    <t>T037</t>
  </si>
  <si>
    <t>治療阿茲海默症的神奇膠囊！活化腦細胞，一個月恢復記憶！[網址] 獨家專利配方，各大醫院不敢公開的秘密！</t>
  </si>
  <si>
    <t>T038</t>
  </si>
  <si>
    <t>告別失眠與安眠藥！太空人都在用的「深度睡眠貼布」，貼在腳底三秒入睡，徹底根治神經衰弱。</t>
  </si>
  <si>
    <t>T039</t>
  </si>
  <si>
    <t>銀髮族專屬高收益理財！每月保證獲利15%，零風險、國家級監管。立即點擊加入導師LINE群組領取飆股。</t>
  </si>
  <si>
    <t>假投資 / 保證獲利</t>
  </si>
  <si>
    <t>T040</t>
  </si>
  <si>
    <t>退休金翻倍計畫！前華爾街操盤手帶你操作台股，保本保息，每天只需十分鐘，月入十萬不是夢！[網址]</t>
  </si>
  <si>
    <t>T041</t>
  </si>
  <si>
    <t>[銀行名稱] 內部員工私下透露的財富密碼！AI智能量化交易系統，全自動幫你賺養老金，勝率高達98%！</t>
  </si>
  <si>
    <t>T042</t>
  </si>
  <si>
    <t>政府長照基金內線消息！跟著我們佈局生技股，一週獲利300%，資金絕不卡關，隨時可提現至您的銀行帳戶。</t>
  </si>
  <si>
    <t>T043</t>
  </si>
  <si>
    <t>虛擬貨幣養老專案！不用懂技術，專業團隊代操，每日結算收益！現在註冊即贈500美金體驗金。</t>
  </si>
  <si>
    <t>T044</t>
  </si>
  <si>
    <t>[銀行名稱] 網銀系統升級公告：為保障您的資金安全，請立即點擊以下連結 [網址] 重新綁定裝置，逾期將暫停使用權限。</t>
  </si>
  <si>
    <t>假銀行 / 釣魚登入</t>
  </si>
  <si>
    <t>T045</t>
  </si>
  <si>
    <t>警告！您的 [銀行名稱] 信用卡出現異常海外消費，請立即登入 [網址] 確認。若非本人操作請馬上填寫退款表單。</t>
  </si>
  <si>
    <t>T046</t>
  </si>
  <si>
    <t>【[銀行名稱] 用戶中心】您的帳戶近期登入異常，為防止洗錢，請點擊連結進行實名制身分核對，否則將凍結資產。</t>
  </si>
  <si>
    <t>T047</t>
  </si>
  <si>
    <t>尊敬的客戶您好，您的 [銀行名稱] 帳戶密碼錯誤次數過多已被鎖定，請於24小時內至 [網址] 進行線上解鎖。</t>
  </si>
  <si>
    <t>T048</t>
  </si>
  <si>
    <t>台北地方法院線上公告：您名下的銀行帳戶涉嫌重大洗錢防制法案件，請立即點擊右下角「聯絡書記官」處理，否則將依法拘提。</t>
  </si>
  <si>
    <t>假檢警 / 帳戶凍結</t>
  </si>
  <si>
    <t>T049</t>
  </si>
  <si>
    <t>內政部警政署165反詐騙警告：您的身分證已被不法集團冒用開戶！請立即將名下資金轉移至國家安全帳戶 [網址] 配合調查。</t>
  </si>
  <si>
    <t>T050</t>
  </si>
  <si>
    <t>法務部行政執行署通知：您有多筆健保費與稅款未繳納，即將強制扣押名下財產。請點擊 [網址] 立即繳清欠款以解除凍結。</t>
  </si>
  <si>
    <t>T051</t>
  </si>
  <si>
    <t>正常通知訊息</t>
  </si>
  <si>
    <t>爸，看護費我已經匯款過去了，你今天有空去刷一下存摺帳戶確認有沒有入帳。</t>
  </si>
  <si>
    <t>正常</t>
  </si>
  <si>
    <t>無</t>
  </si>
  <si>
    <t>低風險</t>
  </si>
  <si>
    <t>T052</t>
  </si>
  <si>
    <t>媽，下個月的安養中心費用我已經線上繳費了，你不用再跑一趟銀行喔。</t>
  </si>
  <si>
    <t>T053</t>
  </si>
  <si>
    <t>爺爺，醫院的血脂檢驗報告出來了，你可以點擊 [網址] 登入健保快易通查詢報告結果。</t>
  </si>
  <si>
    <t>T054</t>
  </si>
  <si>
    <t>奶奶，今天早上的血壓有點偏高喔，記得要把降血壓的藥吃完，不要忘記了。</t>
  </si>
  <si>
    <t>T055</t>
  </si>
  <si>
    <t>【台大醫院】[姓名] 您好，您預約的下週二上午心臟內科門診掛號成功，請攜帶健保卡準時報到。</t>
  </si>
  <si>
    <t>T056</t>
  </si>
  <si>
    <t>叔叔，我把這個月的營養品買好了，錢你不用轉給我，我直接用我的帳戶扣款了。</t>
  </si>
  <si>
    <t>T057</t>
  </si>
  <si>
    <t>智慧床墊通知：[姓名] 昨晚睡眠品質良好，深層睡眠時間達到3小時，心率維持正常範圍。</t>
  </si>
  <si>
    <t>T058</t>
  </si>
  <si>
    <t>姑姑，復健科的自費項目單據我放在桌上，如果你要申請理賠可以點擊 [網址] 看保險公司的規定。</t>
  </si>
  <si>
    <t>T059</t>
  </si>
  <si>
    <t>爸，我今天晚上會晚點過去醫院陪你，晚餐你想吃什麼？我買過去。</t>
  </si>
  <si>
    <t>T060</t>
  </si>
  <si>
    <t>媽，我幫你預約了居服員打掃，費用部分我會直接匯款給長照中心，你不用擔心。</t>
  </si>
  <si>
    <t>T061</t>
  </si>
  <si>
    <t>【台北榮總APP通知】您的慢性病連續處方箋領藥時間已到，請於本週內至住家附近特約藥局領取。</t>
  </si>
  <si>
    <t>T062</t>
  </si>
  <si>
    <t>爺爺，你的智慧手環剛剛發出久坐提醒囉，起來走動一下喝杯水吧！</t>
  </si>
  <si>
    <t>T063</t>
  </si>
  <si>
    <t>阿公，你的榮民就養金今天應該會入帳戶了，出門領錢要注意安全喔。</t>
  </si>
  <si>
    <t>T064</t>
  </si>
  <si>
    <t>奶奶，下午天氣不錯，居服員王小姐兩點會帶你推輪椅去公園散步喔。</t>
  </si>
  <si>
    <t>T065</t>
  </si>
  <si>
    <t>【健康儀表板異常警告】[姓名] 今日下午的血糖數值偏低，請家屬注意是否按時進食。</t>
  </si>
  <si>
    <t>T066</t>
  </si>
  <si>
    <t>爸，健保費的催繳通知單我看到了，我明天會去便利商店幫你繳費。</t>
  </si>
  <si>
    <t>T067</t>
  </si>
  <si>
    <t>媽，我買給你的防跌止滑鞋收到了嗎？試穿看看尺寸合不合，不合我再拿去換。</t>
  </si>
  <si>
    <t>T068</t>
  </si>
  <si>
    <t>叔叔，你上次說要買血壓計的錢我先幫你墊了，你下次見面再把現金給我，不用匯款。</t>
  </si>
  <si>
    <t>T069</t>
  </si>
  <si>
    <t>智慧藥盒提醒：距離午餐後服藥時間已過30分鐘，藥盒尚未開啟，請家屬協助提醒 [姓名] 用藥。</t>
  </si>
  <si>
    <t>T070</t>
  </si>
  <si>
    <t>姑姑，長照2.0的輔具補助申請已經通過了，詳細的核銷流程可以點擊 [網址] 到社會局網站看。</t>
  </si>
  <si>
    <t>T071</t>
  </si>
  <si>
    <t>爸，我這個週末放假會帶小孩回去看你，有什麼需要的日常用品我順便買回去？</t>
  </si>
  <si>
    <t>T072</t>
  </si>
  <si>
    <t>媽，上次你在網路上買的燕麥片，商家說缺貨要退款，他們會把錢退回你當初刷卡的帳戶裡。</t>
  </si>
  <si>
    <t>T073</t>
  </si>
  <si>
    <t>【馬偕醫院APP通知】[姓名] 您的腹部超音波檢查已安排於下週四下午2點，請於檢查前空腹8小時。</t>
  </si>
  <si>
    <t>T074</t>
  </si>
  <si>
    <t>爺爺，國民年金的繳款單寄到我家了，我等等用網銀幫你繳費。</t>
  </si>
  <si>
    <t>T075</t>
  </si>
  <si>
    <t>奶奶，這幾天寒流來氣溫驟降，晚上睡覺要把電毯打開，注意保暖喔。</t>
  </si>
  <si>
    <t>T076</t>
  </si>
  <si>
    <t>爸，我傳給你的那個是衛福部預防失智症的官方宣導影片，你可以點擊 [網址] 看看裡面的運動教學。</t>
  </si>
  <si>
    <t>T077</t>
  </si>
  <si>
    <t>【健康照護網通知】本月居家護理師訪視時間預定為下週三上午10點，若需更改時間請回覆本簡訊。</t>
  </si>
  <si>
    <t>T078</t>
  </si>
  <si>
    <t>媽，我剛把你要給王阿姨的白包匯款過去她的帳戶了，你再跟她說一聲。</t>
  </si>
  <si>
    <t>T079</t>
  </si>
  <si>
    <t>智慧防走失手錶警報：[姓名] 已離開設定的安全電子圍籬範圍超過500公尺，目前定位在中山區公園附近。</t>
  </si>
  <si>
    <t>T080</t>
  </si>
  <si>
    <t>叔叔，幫你報名了社區大學的長青電腦班，學費我已經繳費完畢，下週一記得去上課喔。</t>
  </si>
  <si>
    <t>T081</t>
  </si>
  <si>
    <t>正常網站文字</t>
  </si>
  <si>
    <t>衛生福利部公告：113年度長照2.0服務滿意度調查正式開跑，本局將派員進行電話訪問，不會要求提供財務資訊。</t>
  </si>
  <si>
    <t>T082</t>
  </si>
  <si>
    <t>國民健康署提醒，年滿65歲以上長者每年可享有一次免費成人預防保健服務，請攜帶健保卡至特約醫療院所受檢。</t>
  </si>
  <si>
    <t>T083</t>
  </si>
  <si>
    <t>各縣市長期照顧管理中心提供「居家喘息服務」申請，家屬可透過直撥1966長照專線進行評估與安排。</t>
  </si>
  <si>
    <t>T084</t>
  </si>
  <si>
    <t>疾病管制署最新防疫指引：進入醫療機構與護理之家等高風險場所，建議全程佩戴口罩並落實手部衛生。</t>
  </si>
  <si>
    <t>T085</t>
  </si>
  <si>
    <t>本市衛生局推出「失智友善社區計畫」，鼓勵商家與民眾參與培訓，共同建立支持失智症患者的生活環境。</t>
  </si>
  <si>
    <t>T086</t>
  </si>
  <si>
    <t>社會局公告：申請敬老愛心乘車卡之民眾，請備妥身分證正反面影本及兩吋半身照片，至各區公所社會課辦理。</t>
  </si>
  <si>
    <t>T087</t>
  </si>
  <si>
    <t>針對偏鄉地區的長者，健保署提供「居家醫療照護整合計畫」，讓行動不便的長輩在家中也能獲得醫師看診服務。</t>
  </si>
  <si>
    <t>T088</t>
  </si>
  <si>
    <t>衛福部提醒，住宿式服務機構使用者補助方案已開放申請，最高可獲12萬元補助，詳情請洽各縣市社會局窗口。</t>
  </si>
  <si>
    <t>T089</t>
  </si>
  <si>
    <t>依照消費者保護法規定，消費者享有商品到貨七天猶豫期之權益。但猶豫期並非試用期，退回商品必須是全新狀態且包裝完整。</t>
  </si>
  <si>
    <t>T090</t>
  </si>
  <si>
    <t>若您收到的商品有瑕疵或損壞，請於24小時內拍照存證，並聯繫我們的線上客服，我們將盡速為您安排換貨或退款。</t>
  </si>
  <si>
    <t>T091</t>
  </si>
  <si>
    <t>本站物流配送範圍目前僅限台灣本島，外島地區需額外收取配送運費，實際費用將於結帳頁面自動計算。</t>
  </si>
  <si>
    <t>T092</t>
  </si>
  <si>
    <t>選擇「超商取貨付款」的包裹，請於收到到貨簡訊通知後的七日內前往指定門市領取，逾期包裹將被退回物流中心。</t>
  </si>
  <si>
    <t>T093</t>
  </si>
  <si>
    <t>保健食品及個人衛生用品因考量衛生安全，一經拆封後恕不接受退換貨申請，敬請見諒。</t>
  </si>
  <si>
    <t>T094</t>
  </si>
  <si>
    <t>退款流程將於收到退回商品並確認無誤後開始進行，款項預計於7至14個工作天內退還至您原先付款的信用卡帳戶中。</t>
  </si>
  <si>
    <t>T095</t>
  </si>
  <si>
    <t>【防詐騙宣導】本醫院絕不會主動致電要求您至ATM進行任何操作，或要求您匯款、轉帳以辦理退費。若接獲可疑來電，請立即掛斷並撥打165反詐騙專線。</t>
  </si>
  <si>
    <t>T096</t>
  </si>
  <si>
    <t>提醒您，近期有詐騙集團假冒健保署名義發送不實簡訊，謊稱健保卡將被鎖定。請切勿點擊簡訊中的不明網址，防範詐騙從你我做起。</t>
  </si>
  <si>
    <t>T097</t>
  </si>
  <si>
    <t>[銀行名稱] 關心您：防範投資詐騙，切勿聽信網路上標榜「保證獲利」、「穩賺不賠」的投資群組，且切勿將銀行帳戶借給他人使用，以免淪為人頭帳戶。</t>
  </si>
  <si>
    <t>T098</t>
  </si>
  <si>
    <t>榮總反詐騙公告：本院人員不會以電話通知病患健保卡遭盜用或積欠醫療費用而要求核對個人資料。防範詐騙，保護您的財產安全。</t>
  </si>
  <si>
    <t>T099</t>
  </si>
  <si>
    <t>警政署與 [銀行名稱] 共同呼籲：檢警機關辦案絕不會監管任何人的帳戶，也不會要求收取保證金。若聽到「監管帳戶」、「偵查不公開」等關鍵字，絕對是詐騙！</t>
  </si>
  <si>
    <t>T100</t>
  </si>
  <si>
    <t>社會局長照科防詐騙提醒：辦理各項長照補助皆需透過官方正當管道，專員不會私下加LINE要求匯款或索取您的存摺密碼，切勿提供帳戶資訊給陌生人。</t>
  </si>
  <si>
    <t>AI 防詐盾牌｜高齡情境測試資料集統計儀表板</t>
  </si>
  <si>
    <t>指標</t>
  </si>
  <si>
    <t>公式/結果</t>
  </si>
  <si>
    <t>說明</t>
  </si>
  <si>
    <t>筆數</t>
  </si>
  <si>
    <t>測試總數</t>
  </si>
  <si>
    <t>資料集總筆數</t>
  </si>
  <si>
    <t>詐騙樣本</t>
  </si>
  <si>
    <t>真實標籤為詐騙</t>
  </si>
  <si>
    <t>正常樣本</t>
  </si>
  <si>
    <t>真實標籤為正常</t>
  </si>
  <si>
    <t>已完成系統判斷</t>
  </si>
  <si>
    <t>已填入系統判斷的筆數</t>
  </si>
  <si>
    <t>整體正確率</t>
  </si>
  <si>
    <t>完成測試後自動計算</t>
  </si>
  <si>
    <t>詐騙辨識率</t>
  </si>
  <si>
    <t>詐騙被判為高/中風險</t>
  </si>
  <si>
    <t>正常誤判率</t>
  </si>
  <si>
    <t>正常被判成中/高風險</t>
  </si>
  <si>
    <t>平均分析時間</t>
  </si>
  <si>
    <t>單位：秒</t>
  </si>
  <si>
    <t>使用說明</t>
  </si>
  <si>
    <t>1. 在「測試資料集」填入系統判斷、系統分數、分析時間。</t>
  </si>
  <si>
    <t>2. 「是否判斷正確」與「誤判類型」已有公式，會自動判斷。</t>
  </si>
  <si>
    <t>3. 完成測試後，統計儀表板會自動更新整體正確率、詐騙辨識率與正常誤判率。</t>
  </si>
  <si>
    <t>4. 正常防詐宣導文字含有詐騙關鍵字，是用來測試系統是否過度誤判。</t>
  </si>
  <si>
    <t>5. 部分詐騙樣本刻意加入錯字、插點與同音字，用來測試變形話術辨識能力。</t>
  </si>
  <si>
    <t>欄位</t>
  </si>
  <si>
    <t>填寫方式</t>
  </si>
  <si>
    <t>備註</t>
  </si>
  <si>
    <t>T001～T100</t>
  </si>
  <si>
    <t>唯一識別碼，不建議修改</t>
  </si>
  <si>
    <t>詐騙簡訊 / 詐騙網站文字 / 正常通知訊息 / 正常網站文字</t>
  </si>
  <si>
    <t>用於分類統計</t>
  </si>
  <si>
    <t>放入測試訊息或網頁文字</t>
  </si>
  <si>
    <t>已用 [網址]、[姓名]、[手機號碼] 遮蔽個資</t>
  </si>
  <si>
    <t>詐騙 / 正常</t>
  </si>
  <si>
    <t>人工標註的標準答案</t>
  </si>
  <si>
    <t>假長照補助金、假醫院批價異常等</t>
  </si>
  <si>
    <t>正常資料填「無」</t>
  </si>
  <si>
    <t>高風險 / 低風險</t>
  </si>
  <si>
    <t>詐騙樣本預期高風險，正常樣本預期低風險</t>
  </si>
  <si>
    <t>高風險 / 中風險 / 低風險</t>
  </si>
  <si>
    <t>跑完 AI 防詐盾牌後填入</t>
  </si>
  <si>
    <t>0～100</t>
  </si>
  <si>
    <t>系統回傳風險分數</t>
  </si>
  <si>
    <t>自動公式</t>
  </si>
  <si>
    <t>詐騙判高/中風險算正確；正常判低風險算正確</t>
  </si>
  <si>
    <t>填入秒數，例如 1.23</t>
  </si>
  <si>
    <t>用於計算平均分析時間</t>
  </si>
  <si>
    <t>成功 / 失敗 / 不適用 / 未測</t>
  </si>
  <si>
    <t>高風險測試時填寫</t>
  </si>
  <si>
    <t>有測 LINE 或家屬通知時填寫</t>
  </si>
  <si>
    <t>自動標示漏判、誤判或需檢查</t>
  </si>
  <si>
    <t>自製模擬 / 公開案例改寫</t>
  </si>
  <si>
    <t>目前為自製模擬</t>
  </si>
  <si>
    <t>yyyy-mm-dd</t>
  </si>
  <si>
    <t>目前設定為 2026-05-10</t>
  </si>
  <si>
    <t>填入測試者</t>
  </si>
  <si>
    <t>可填同學姓名</t>
  </si>
  <si>
    <t>填入系統回傳理由或人工備註</t>
  </si>
  <si>
    <t>可記錄誤判原因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</si>
</sst>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
  </numFmts>
  <fonts count="7">
    <font>
      <sz val="11"/>
      <name val="Carlito"/>
    </font>
    <font>
      <b/>
      <sz val="11"/>
      <color rgb="FFFFFFFF"/>
      <name val="Carlito"/>
    </font>
    <font>
      <sz val="10"/>
      <name val="Carlito"/>
    </font>
    <font>
      <b/>
      <sz val="16"/>
      <color rgb="FFFFFFFF"/>
      <name val="Carlito"/>
    </font>
    <font>
      <b/>
      <sz val="11"/>
      <name val="Carlito"/>
    </font>
    <font>
      <sz val="11"/>
      <name val="Carlito"/>
    </font>
    <font>
      <sz val="9"/>
      <name val="細明體"/>
      <family val="3"/>
      <charset val="136"/>
    </font>
  </fonts>
  <fills count="9">
    <fill>
      <patternFill patternType="none"/>
    </fill>
    <fill>
      <patternFill patternType="gray125"/>
    </fill>
    <fill>
      <patternFill patternType="solid">
        <fgColor rgb="FF1F4E78"/>
      </patternFill>
    </fill>
    <fill>
      <patternFill patternType="solid">
        <fgColor rgb="FF0F172A"/>
      </patternFill>
    </fill>
    <fill>
      <patternFill patternType="solid">
        <fgColor rgb="FFEFF6FF"/>
      </patternFill>
    </fill>
    <fill>
      <patternFill patternType="solid">
        <fgColor rgb="FFF8FAFC"/>
      </patternFill>
    </fill>
    <fill>
      <patternFill patternType="solid">
        <fgColor rgb="FF7C2D12"/>
      </patternFill>
    </fill>
    <fill>
      <patternFill patternType="solid">
        <fgColor rgb="FFFFF7ED"/>
      </patternFill>
    </fill>
    <fill>
      <patternFill patternType="solid">
        <fgColor rgb="FF0F766E"/>
      </patternFill>
    </fill>
  </fills>
  <borders count="1">
    <border>
      <left/>
      <right/>
      <top/>
      <bottom/>
      <diagonal/>
    </border>
  </borders>
  <cellStyleXfs count="2">
    <xf numFmtId="0" fontId="0" fillId="0" borderId="0"/>
    <xf numFmtId="0" fontId="5" fillId="0" borderId="0"/>
  </cellStyleXfs>
  <cellXfs count="21">
    <xf numFmtId="0" fontId="0" fillId="0" borderId="0" xfId="0"/>
    <xf numFmtId="0" fontId="1" fillId="2" borderId="0" xfId="1" applyNumberFormat="1" applyFont="1" applyFill="1" applyBorder="1" applyAlignment="1">
      <alignment horizontal="center" vertical="center" wrapText="1"/>
    </xf>
    <xf numFmtId="0" fontId="2" fillId="0" borderId="0" xfId="1" applyNumberFormat="1" applyFont="1" applyFill="1" applyBorder="1" applyAlignment="1">
      <alignment vertical="top" wrapText="1"/>
    </xf>
    <xf numFmtId="1" fontId="2" fillId="0" borderId="0" xfId="1" applyNumberFormat="1" applyFont="1" applyFill="1" applyBorder="1" applyAlignment="1">
      <alignment vertical="top" wrapText="1"/>
    </xf>
    <xf numFmtId="2" fontId="2" fillId="0" borderId="0" xfId="1" applyNumberFormat="1" applyFont="1" applyFill="1" applyBorder="1" applyAlignment="1">
      <alignment vertical="top" wrapText="1"/>
    </xf>
    <xf numFmtId="176" fontId="2" fillId="0" borderId="0" xfId="1" applyNumberFormat="1" applyFont="1" applyFill="1" applyBorder="1" applyAlignment="1">
      <alignment vertical="top" wrapText="1"/>
    </xf>
    <xf numFmtId="0" fontId="1" fillId="2" borderId="0" xfId="1" applyNumberFormat="1" applyFont="1" applyFill="1" applyBorder="1" applyAlignment="1">
      <alignment horizontal="center"/>
    </xf>
    <xf numFmtId="0" fontId="4" fillId="4" borderId="0" xfId="1" applyNumberFormat="1" applyFont="1" applyFill="1" applyBorder="1" applyAlignment="1">
      <alignment vertical="center" wrapText="1"/>
    </xf>
    <xf numFmtId="0" fontId="0" fillId="0" borderId="0" xfId="1" applyNumberFormat="1" applyFont="1" applyFill="1" applyBorder="1" applyAlignment="1">
      <alignment vertical="center" wrapText="1"/>
    </xf>
    <xf numFmtId="1" fontId="0" fillId="0" borderId="0" xfId="1" applyNumberFormat="1" applyFont="1" applyFill="1" applyBorder="1" applyAlignment="1">
      <alignment vertical="center" wrapText="1"/>
    </xf>
    <xf numFmtId="177" fontId="0" fillId="0" borderId="0" xfId="1" applyNumberFormat="1" applyFont="1" applyFill="1" applyBorder="1" applyAlignment="1">
      <alignment vertical="center" wrapText="1"/>
    </xf>
    <xf numFmtId="2" fontId="0" fillId="0" borderId="0" xfId="1" applyNumberFormat="1" applyFont="1" applyFill="1" applyBorder="1" applyAlignment="1">
      <alignment vertical="center" wrapText="1"/>
    </xf>
    <xf numFmtId="0" fontId="4" fillId="5" borderId="0" xfId="1" applyNumberFormat="1" applyFont="1" applyFill="1" applyBorder="1"/>
    <xf numFmtId="0" fontId="1" fillId="6" borderId="0" xfId="1" applyNumberFormat="1" applyFont="1" applyFill="1" applyBorder="1" applyAlignment="1">
      <alignment horizontal="center" vertical="center" wrapText="1"/>
    </xf>
    <xf numFmtId="0" fontId="4" fillId="7" borderId="0" xfId="1" applyNumberFormat="1" applyFont="1" applyFill="1" applyBorder="1" applyAlignment="1">
      <alignment vertical="center" wrapText="1"/>
    </xf>
    <xf numFmtId="0" fontId="0" fillId="0" borderId="0" xfId="1" applyNumberFormat="1" applyFont="1" applyFill="1" applyBorder="1" applyAlignment="1">
      <alignment vertical="top" wrapText="1"/>
    </xf>
    <xf numFmtId="0" fontId="1" fillId="2" borderId="0" xfId="1" applyNumberFormat="1" applyFont="1" applyFill="1" applyBorder="1" applyAlignment="1">
      <alignment horizontal="center" vertical="top" wrapText="1"/>
    </xf>
    <xf numFmtId="0" fontId="4" fillId="4" borderId="0" xfId="1" applyNumberFormat="1" applyFont="1" applyFill="1" applyBorder="1" applyAlignment="1">
      <alignment vertical="top" wrapText="1"/>
    </xf>
    <xf numFmtId="0" fontId="3" fillId="3" borderId="0" xfId="1" applyNumberFormat="1" applyFont="1" applyFill="1" applyBorder="1" applyAlignment="1">
      <alignment horizontal="center" vertical="center"/>
    </xf>
    <xf numFmtId="0" fontId="0" fillId="0" borderId="0" xfId="0"/>
    <xf numFmtId="0" fontId="1" fillId="8" borderId="0" xfId="1" applyNumberFormat="1" applyFont="1" applyFill="1" applyBorder="1" applyAlignment="1">
      <alignment horizontal="center"/>
    </xf>
  </cellXfs>
  <cellStyles count="2">
    <cellStyle name="Normal" xfId="1" xr:uid="{00000000-0005-0000-0000-000000000000}"/>
    <cellStyle name="一般" xfId="0" builtinId="0"/>
  </cellStyles>
  <dxfs count="5">
    <dxf>
      <font>
        <b/>
        <color rgb="FF14532D"/>
      </font>
      <fill>
        <patternFill patternType="solid">
          <bgColor rgb="FFBBF7D0"/>
        </patternFill>
      </fill>
    </dxf>
    <dxf>
      <font>
        <b/>
        <color rgb="FF78350F"/>
      </font>
      <fill>
        <patternFill patternType="solid">
          <bgColor rgb="FFFDE68A"/>
        </patternFill>
      </fill>
    </dxf>
    <dxf>
      <font>
        <b/>
        <color rgb="FF7F1D1D"/>
      </font>
      <fill>
        <patternFill patternType="solid">
          <bgColor rgb="FFFCA5A5"/>
        </patternFill>
      </fill>
    </dxf>
    <dxf>
      <font>
        <color rgb="FF991B1B"/>
      </font>
      <fill>
        <patternFill patternType="solid">
          <bgColor rgb="FFFEE2E2"/>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c:style val="2"/>
  <c:chart>
    <c:title>
      <c:tx>
        <c:rich>
          <a:bodyPr/>
          <a:lstStyle/>
          <a:p>
            <a:r>
              <a:t>資料類型分布</a:t>
            </a:r>
          </a:p>
        </c:rich>
      </c:tx>
      <c:overlay val="0"/>
    </c:title>
    <c:autoTitleDeleted val="0"/>
    <c:plotArea>
      <c:layout/>
      <c:barChart>
        <c:barDir val="col"/>
        <c:grouping val="clustered"/>
        <c:varyColors val="0"/>
        <c:ser>
          <c:idx val="0"/>
          <c:order val="0"/>
          <c:tx>
            <c:v>筆數</c:v>
          </c:tx>
          <c:invertIfNegative val="1"/>
          <c:cat>
            <c:strRef>
              <c:f>統計儀表板!$E$4:$E$7</c:f>
              <c:strCache>
                <c:ptCount val="4"/>
                <c:pt idx="0">
                  <c:v>詐騙簡訊</c:v>
                </c:pt>
                <c:pt idx="1">
                  <c:v>詐騙網站文字</c:v>
                </c:pt>
                <c:pt idx="2">
                  <c:v>正常通知訊息</c:v>
                </c:pt>
                <c:pt idx="3">
                  <c:v>正常網站文字</c:v>
                </c:pt>
              </c:strCache>
            </c:strRef>
          </c:cat>
          <c:val>
            <c:numRef>
              <c:f>統計儀表板!$F$4:$F$7</c:f>
              <c:numCache>
                <c:formatCode>General</c:formatCode>
                <c:ptCount val="4"/>
                <c:pt idx="0">
                  <c:v>30</c:v>
                </c:pt>
                <c:pt idx="1">
                  <c:v>20</c:v>
                </c:pt>
                <c:pt idx="2">
                  <c:v>30</c:v>
                </c:pt>
                <c:pt idx="3">
                  <c:v>20</c:v>
                </c:pt>
              </c:numCache>
            </c:numRef>
          </c:val>
          <c:extLst>
            <c:ext xmlns:c16="http://schemas.microsoft.com/office/drawing/2014/chart" uri="{C3380CC4-5D6E-409C-BE32-E72D297353CC}">
              <c16:uniqueId val="{00000000-0DF9-4153-80D3-3A885D039E7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c:style val="2"/>
  <c:chart>
    <c:title>
      <c:tx>
        <c:rich>
          <a:bodyPr/>
          <a:lstStyle/>
          <a:p>
            <a:r>
              <a:t>詐騙類型分布</a:t>
            </a:r>
          </a:p>
        </c:rich>
      </c:tx>
      <c:overlay val="0"/>
    </c:title>
    <c:autoTitleDeleted val="0"/>
    <c:plotArea>
      <c:layout/>
      <c:barChart>
        <c:barDir val="col"/>
        <c:grouping val="clustered"/>
        <c:varyColors val="0"/>
        <c:ser>
          <c:idx val="0"/>
          <c:order val="0"/>
          <c:tx>
            <c:v>筆數</c:v>
          </c:tx>
          <c:invertIfNegative val="1"/>
          <c:cat>
            <c:strRef>
              <c:f>統計儀表板!$A$15:$A$22</c:f>
              <c:strCache>
                <c:ptCount val="8"/>
                <c:pt idx="0">
                  <c:v>假投資 / 保證獲利</c:v>
                </c:pt>
                <c:pt idx="1">
                  <c:v>假檢警 / 帳戶凍結</c:v>
                </c:pt>
                <c:pt idx="2">
                  <c:v>假物流 / 包裹補繳運費</c:v>
                </c:pt>
                <c:pt idx="3">
                  <c:v>假網購特效保健食品</c:v>
                </c:pt>
                <c:pt idx="4">
                  <c:v>假親友借醫療費</c:v>
                </c:pt>
                <c:pt idx="5">
                  <c:v>假醫院批價異常</c:v>
                </c:pt>
                <c:pt idx="6">
                  <c:v>假銀行 / 釣魚登入</c:v>
                </c:pt>
                <c:pt idx="7">
                  <c:v>假長照補助金</c:v>
                </c:pt>
              </c:strCache>
            </c:strRef>
          </c:cat>
          <c:val>
            <c:numRef>
              <c:f>統計儀表板!$B$15:$B$22</c:f>
              <c:numCache>
                <c:formatCode>General</c:formatCode>
                <c:ptCount val="8"/>
                <c:pt idx="0">
                  <c:v>5</c:v>
                </c:pt>
                <c:pt idx="1">
                  <c:v>3</c:v>
                </c:pt>
                <c:pt idx="2">
                  <c:v>6</c:v>
                </c:pt>
                <c:pt idx="3">
                  <c:v>8</c:v>
                </c:pt>
                <c:pt idx="4">
                  <c:v>8</c:v>
                </c:pt>
                <c:pt idx="5">
                  <c:v>8</c:v>
                </c:pt>
                <c:pt idx="6">
                  <c:v>4</c:v>
                </c:pt>
                <c:pt idx="7">
                  <c:v>8</c:v>
                </c:pt>
              </c:numCache>
            </c:numRef>
          </c:val>
          <c:extLst>
            <c:ext xmlns:c16="http://schemas.microsoft.com/office/drawing/2014/chart" uri="{C3380CC4-5D6E-409C-BE32-E72D297353CC}">
              <c16:uniqueId val="{00000000-7A95-452D-B138-DE98D17A429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15</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17</xdr:row>
      <xdr:rowOff>0</xdr:rowOff>
    </xdr:from>
    <xdr:to>
      <xdr:col>15</xdr:col>
      <xdr:colOff>0</xdr:colOff>
      <xdr:row>34</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camTestData" displayName="ScamTestData" ref="A1:Q101">
  <tableColumns count="17">
    <tableColumn id="1" xr3:uid="{00000000-0010-0000-0000-000001000000}" name="編號"/>
    <tableColumn id="2" xr3:uid="{00000000-0010-0000-0000-000002000000}" name="資料類型"/>
    <tableColumn id="3" xr3:uid="{00000000-0010-0000-0000-000003000000}" name="內容/網址/文字"/>
    <tableColumn id="4" xr3:uid="{00000000-0010-0000-0000-000004000000}" name="真實標籤"/>
    <tableColumn id="5" xr3:uid="{00000000-0010-0000-0000-000005000000}" name="詐騙類型"/>
    <tableColumn id="6" xr3:uid="{00000000-0010-0000-0000-000006000000}" name="預期風險等級"/>
    <tableColumn id="7" xr3:uid="{00000000-0010-0000-0000-000007000000}" name="系統判斷"/>
    <tableColumn id="8" xr3:uid="{00000000-0010-0000-0000-000008000000}" name="系統分數"/>
    <tableColumn id="9" xr3:uid="{00000000-0010-0000-0000-000009000000}" name="是否判斷正確"/>
    <tableColumn id="10" xr3:uid="{00000000-0010-0000-0000-00000A000000}" name="分析時間(秒)"/>
    <tableColumn id="11" xr3:uid="{00000000-0010-0000-0000-00000B000000}" name="高風險是否攔截"/>
    <tableColumn id="12" xr3:uid="{00000000-0010-0000-0000-00000C000000}" name="家屬通知是否成功"/>
    <tableColumn id="13" xr3:uid="{00000000-0010-0000-0000-00000D000000}" name="誤判類型"/>
    <tableColumn id="14" xr3:uid="{00000000-0010-0000-0000-00000E000000}" name="資料來源"/>
    <tableColumn id="15" xr3:uid="{00000000-0010-0000-0000-00000F000000}" name="測試日期"/>
    <tableColumn id="16" xr3:uid="{00000000-0010-0000-0000-000010000000}" name="測試人員"/>
    <tableColumn id="17" xr3:uid="{00000000-0010-0000-0000-000011000000}" name="系統理由/備註"/>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abSelected="1" workbookViewId="0"/>
  </sheetViews>
  <sheetFormatPr defaultRowHeight="14.25"/>
  <cols>
    <col min="1" max="1" width="10" customWidth="1"/>
    <col min="2" max="2" width="16" customWidth="1"/>
    <col min="3" max="3" width="58" customWidth="1"/>
    <col min="4" max="4" width="10" customWidth="1"/>
    <col min="5" max="5" width="22" customWidth="1"/>
    <col min="6" max="6" width="14" customWidth="1"/>
    <col min="7" max="7" width="12" customWidth="1"/>
    <col min="8" max="8" width="10" customWidth="1"/>
    <col min="9" max="9" width="14" customWidth="1"/>
    <col min="10" max="10" width="13" customWidth="1"/>
    <col min="11" max="11" width="16" customWidth="1"/>
    <col min="12" max="12" width="17" customWidth="1"/>
    <col min="13" max="13" width="14" customWidth="1"/>
    <col min="14" max="14" width="13" customWidth="1"/>
    <col min="15" max="16" width="12" customWidth="1"/>
    <col min="17" max="17" width="42" customWidth="1"/>
  </cols>
  <sheetData>
    <row r="1" spans="1:17"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4.1" customHeight="1">
      <c r="A2" s="2" t="s">
        <v>17</v>
      </c>
      <c r="B2" s="2" t="s">
        <v>18</v>
      </c>
      <c r="C2" s="2" t="s">
        <v>19</v>
      </c>
      <c r="D2" s="2" t="s">
        <v>20</v>
      </c>
      <c r="E2" s="2" t="s">
        <v>21</v>
      </c>
      <c r="F2" s="2" t="s">
        <v>22</v>
      </c>
      <c r="G2" s="2"/>
      <c r="H2" s="3"/>
      <c r="I2" s="2" t="str">
        <f t="shared" ref="I2:I33" si="0">IF(G2="","",IF(AND(D2="詐騙",OR(G2="高風險",G2="中風險")),"是",IF(AND(D2="正常",G2="低風險"),"是","否")))</f>
        <v/>
      </c>
      <c r="J2" s="4"/>
      <c r="K2" s="2"/>
      <c r="L2" s="2"/>
      <c r="M2" s="2" t="str">
        <f t="shared" ref="M2:M33" si="1">IF(G2="","",IF(I2="是","",IF(AND(D2="詐騙",G2="低風險"),"漏判",IF(AND(D2="正常",OR(G2="中風險",G2="高風險")),"誤判","需檢查"))))</f>
        <v/>
      </c>
      <c r="N2" s="2" t="s">
        <v>23</v>
      </c>
      <c r="O2" s="5" t="s">
        <v>24</v>
      </c>
      <c r="P2" s="2"/>
      <c r="Q2" s="2"/>
    </row>
    <row r="3" spans="1:17" ht="44.1" customHeight="1">
      <c r="A3" s="2" t="s">
        <v>25</v>
      </c>
      <c r="B3" s="2" t="s">
        <v>18</v>
      </c>
      <c r="C3" s="2" t="s">
        <v>26</v>
      </c>
      <c r="D3" s="2" t="s">
        <v>20</v>
      </c>
      <c r="E3" s="2" t="s">
        <v>21</v>
      </c>
      <c r="F3" s="2" t="s">
        <v>22</v>
      </c>
      <c r="G3" s="2"/>
      <c r="H3" s="3"/>
      <c r="I3" s="2" t="str">
        <f t="shared" si="0"/>
        <v/>
      </c>
      <c r="J3" s="4"/>
      <c r="K3" s="2"/>
      <c r="L3" s="2"/>
      <c r="M3" s="2" t="str">
        <f t="shared" si="1"/>
        <v/>
      </c>
      <c r="N3" s="2" t="s">
        <v>23</v>
      </c>
      <c r="O3" s="5" t="s">
        <v>24</v>
      </c>
      <c r="P3" s="2"/>
      <c r="Q3" s="2"/>
    </row>
    <row r="4" spans="1:17" ht="44.1" customHeight="1">
      <c r="A4" s="2" t="s">
        <v>27</v>
      </c>
      <c r="B4" s="2" t="s">
        <v>18</v>
      </c>
      <c r="C4" s="2" t="s">
        <v>28</v>
      </c>
      <c r="D4" s="2" t="s">
        <v>20</v>
      </c>
      <c r="E4" s="2" t="s">
        <v>21</v>
      </c>
      <c r="F4" s="2" t="s">
        <v>22</v>
      </c>
      <c r="G4" s="2"/>
      <c r="H4" s="3"/>
      <c r="I4" s="2" t="str">
        <f t="shared" si="0"/>
        <v/>
      </c>
      <c r="J4" s="4"/>
      <c r="K4" s="2"/>
      <c r="L4" s="2"/>
      <c r="M4" s="2" t="str">
        <f t="shared" si="1"/>
        <v/>
      </c>
      <c r="N4" s="2" t="s">
        <v>23</v>
      </c>
      <c r="O4" s="5" t="s">
        <v>24</v>
      </c>
      <c r="P4" s="2"/>
      <c r="Q4" s="2"/>
    </row>
    <row r="5" spans="1:17" ht="44.1" customHeight="1">
      <c r="A5" s="2" t="s">
        <v>29</v>
      </c>
      <c r="B5" s="2" t="s">
        <v>18</v>
      </c>
      <c r="C5" s="2" t="s">
        <v>30</v>
      </c>
      <c r="D5" s="2" t="s">
        <v>20</v>
      </c>
      <c r="E5" s="2" t="s">
        <v>21</v>
      </c>
      <c r="F5" s="2" t="s">
        <v>22</v>
      </c>
      <c r="G5" s="2"/>
      <c r="H5" s="3"/>
      <c r="I5" s="2" t="str">
        <f t="shared" si="0"/>
        <v/>
      </c>
      <c r="J5" s="4"/>
      <c r="K5" s="2"/>
      <c r="L5" s="2"/>
      <c r="M5" s="2" t="str">
        <f t="shared" si="1"/>
        <v/>
      </c>
      <c r="N5" s="2" t="s">
        <v>23</v>
      </c>
      <c r="O5" s="5" t="s">
        <v>24</v>
      </c>
      <c r="P5" s="2"/>
      <c r="Q5" s="2"/>
    </row>
    <row r="6" spans="1:17" ht="44.1" customHeight="1">
      <c r="A6" s="2" t="s">
        <v>31</v>
      </c>
      <c r="B6" s="2" t="s">
        <v>18</v>
      </c>
      <c r="C6" s="2" t="s">
        <v>32</v>
      </c>
      <c r="D6" s="2" t="s">
        <v>20</v>
      </c>
      <c r="E6" s="2" t="s">
        <v>21</v>
      </c>
      <c r="F6" s="2" t="s">
        <v>22</v>
      </c>
      <c r="G6" s="2"/>
      <c r="H6" s="3"/>
      <c r="I6" s="2" t="str">
        <f t="shared" si="0"/>
        <v/>
      </c>
      <c r="J6" s="4"/>
      <c r="K6" s="2"/>
      <c r="L6" s="2"/>
      <c r="M6" s="2" t="str">
        <f t="shared" si="1"/>
        <v/>
      </c>
      <c r="N6" s="2" t="s">
        <v>23</v>
      </c>
      <c r="O6" s="5" t="s">
        <v>24</v>
      </c>
      <c r="P6" s="2"/>
      <c r="Q6" s="2"/>
    </row>
    <row r="7" spans="1:17" ht="44.1" customHeight="1">
      <c r="A7" s="2" t="s">
        <v>33</v>
      </c>
      <c r="B7" s="2" t="s">
        <v>18</v>
      </c>
      <c r="C7" s="2" t="s">
        <v>34</v>
      </c>
      <c r="D7" s="2" t="s">
        <v>20</v>
      </c>
      <c r="E7" s="2" t="s">
        <v>21</v>
      </c>
      <c r="F7" s="2" t="s">
        <v>22</v>
      </c>
      <c r="G7" s="2"/>
      <c r="H7" s="3"/>
      <c r="I7" s="2" t="str">
        <f t="shared" si="0"/>
        <v/>
      </c>
      <c r="J7" s="4"/>
      <c r="K7" s="2"/>
      <c r="L7" s="2"/>
      <c r="M7" s="2" t="str">
        <f t="shared" si="1"/>
        <v/>
      </c>
      <c r="N7" s="2" t="s">
        <v>23</v>
      </c>
      <c r="O7" s="5" t="s">
        <v>24</v>
      </c>
      <c r="P7" s="2"/>
      <c r="Q7" s="2"/>
    </row>
    <row r="8" spans="1:17" ht="44.1" customHeight="1">
      <c r="A8" s="2" t="s">
        <v>35</v>
      </c>
      <c r="B8" s="2" t="s">
        <v>18</v>
      </c>
      <c r="C8" s="2" t="s">
        <v>36</v>
      </c>
      <c r="D8" s="2" t="s">
        <v>20</v>
      </c>
      <c r="E8" s="2" t="s">
        <v>21</v>
      </c>
      <c r="F8" s="2" t="s">
        <v>22</v>
      </c>
      <c r="G8" s="2"/>
      <c r="H8" s="3"/>
      <c r="I8" s="2" t="str">
        <f t="shared" si="0"/>
        <v/>
      </c>
      <c r="J8" s="4"/>
      <c r="K8" s="2"/>
      <c r="L8" s="2"/>
      <c r="M8" s="2" t="str">
        <f t="shared" si="1"/>
        <v/>
      </c>
      <c r="N8" s="2" t="s">
        <v>23</v>
      </c>
      <c r="O8" s="5" t="s">
        <v>24</v>
      </c>
      <c r="P8" s="2"/>
      <c r="Q8" s="2"/>
    </row>
    <row r="9" spans="1:17" ht="44.1" customHeight="1">
      <c r="A9" s="2" t="s">
        <v>37</v>
      </c>
      <c r="B9" s="2" t="s">
        <v>18</v>
      </c>
      <c r="C9" s="2" t="s">
        <v>38</v>
      </c>
      <c r="D9" s="2" t="s">
        <v>20</v>
      </c>
      <c r="E9" s="2" t="s">
        <v>21</v>
      </c>
      <c r="F9" s="2" t="s">
        <v>22</v>
      </c>
      <c r="G9" s="2"/>
      <c r="H9" s="3"/>
      <c r="I9" s="2" t="str">
        <f t="shared" si="0"/>
        <v/>
      </c>
      <c r="J9" s="4"/>
      <c r="K9" s="2"/>
      <c r="L9" s="2"/>
      <c r="M9" s="2" t="str">
        <f t="shared" si="1"/>
        <v/>
      </c>
      <c r="N9" s="2" t="s">
        <v>23</v>
      </c>
      <c r="O9" s="5" t="s">
        <v>24</v>
      </c>
      <c r="P9" s="2"/>
      <c r="Q9" s="2"/>
    </row>
    <row r="10" spans="1:17" ht="44.1" customHeight="1">
      <c r="A10" s="2" t="s">
        <v>39</v>
      </c>
      <c r="B10" s="2" t="s">
        <v>18</v>
      </c>
      <c r="C10" s="2" t="s">
        <v>40</v>
      </c>
      <c r="D10" s="2" t="s">
        <v>20</v>
      </c>
      <c r="E10" s="2" t="s">
        <v>41</v>
      </c>
      <c r="F10" s="2" t="s">
        <v>22</v>
      </c>
      <c r="G10" s="2"/>
      <c r="H10" s="3"/>
      <c r="I10" s="2" t="str">
        <f t="shared" si="0"/>
        <v/>
      </c>
      <c r="J10" s="4"/>
      <c r="K10" s="2"/>
      <c r="L10" s="2"/>
      <c r="M10" s="2" t="str">
        <f t="shared" si="1"/>
        <v/>
      </c>
      <c r="N10" s="2" t="s">
        <v>23</v>
      </c>
      <c r="O10" s="5" t="s">
        <v>24</v>
      </c>
      <c r="P10" s="2"/>
      <c r="Q10" s="2"/>
    </row>
    <row r="11" spans="1:17" ht="44.1" customHeight="1">
      <c r="A11" s="2" t="s">
        <v>42</v>
      </c>
      <c r="B11" s="2" t="s">
        <v>18</v>
      </c>
      <c r="C11" s="2" t="s">
        <v>43</v>
      </c>
      <c r="D11" s="2" t="s">
        <v>20</v>
      </c>
      <c r="E11" s="2" t="s">
        <v>41</v>
      </c>
      <c r="F11" s="2" t="s">
        <v>22</v>
      </c>
      <c r="G11" s="2"/>
      <c r="H11" s="3"/>
      <c r="I11" s="2" t="str">
        <f t="shared" si="0"/>
        <v/>
      </c>
      <c r="J11" s="4"/>
      <c r="K11" s="2"/>
      <c r="L11" s="2"/>
      <c r="M11" s="2" t="str">
        <f t="shared" si="1"/>
        <v/>
      </c>
      <c r="N11" s="2" t="s">
        <v>23</v>
      </c>
      <c r="O11" s="5" t="s">
        <v>24</v>
      </c>
      <c r="P11" s="2"/>
      <c r="Q11" s="2"/>
    </row>
    <row r="12" spans="1:17" ht="44.1" customHeight="1">
      <c r="A12" s="2" t="s">
        <v>44</v>
      </c>
      <c r="B12" s="2" t="s">
        <v>18</v>
      </c>
      <c r="C12" s="2" t="s">
        <v>45</v>
      </c>
      <c r="D12" s="2" t="s">
        <v>20</v>
      </c>
      <c r="E12" s="2" t="s">
        <v>41</v>
      </c>
      <c r="F12" s="2" t="s">
        <v>22</v>
      </c>
      <c r="G12" s="2"/>
      <c r="H12" s="3"/>
      <c r="I12" s="2" t="str">
        <f t="shared" si="0"/>
        <v/>
      </c>
      <c r="J12" s="4"/>
      <c r="K12" s="2"/>
      <c r="L12" s="2"/>
      <c r="M12" s="2" t="str">
        <f t="shared" si="1"/>
        <v/>
      </c>
      <c r="N12" s="2" t="s">
        <v>23</v>
      </c>
      <c r="O12" s="5" t="s">
        <v>24</v>
      </c>
      <c r="P12" s="2"/>
      <c r="Q12" s="2"/>
    </row>
    <row r="13" spans="1:17" ht="44.1" customHeight="1">
      <c r="A13" s="2" t="s">
        <v>46</v>
      </c>
      <c r="B13" s="2" t="s">
        <v>18</v>
      </c>
      <c r="C13" s="2" t="s">
        <v>47</v>
      </c>
      <c r="D13" s="2" t="s">
        <v>20</v>
      </c>
      <c r="E13" s="2" t="s">
        <v>41</v>
      </c>
      <c r="F13" s="2" t="s">
        <v>22</v>
      </c>
      <c r="G13" s="2"/>
      <c r="H13" s="3"/>
      <c r="I13" s="2" t="str">
        <f t="shared" si="0"/>
        <v/>
      </c>
      <c r="J13" s="4"/>
      <c r="K13" s="2"/>
      <c r="L13" s="2"/>
      <c r="M13" s="2" t="str">
        <f t="shared" si="1"/>
        <v/>
      </c>
      <c r="N13" s="2" t="s">
        <v>23</v>
      </c>
      <c r="O13" s="5" t="s">
        <v>24</v>
      </c>
      <c r="P13" s="2"/>
      <c r="Q13" s="2"/>
    </row>
    <row r="14" spans="1:17" ht="44.1" customHeight="1">
      <c r="A14" s="2" t="s">
        <v>48</v>
      </c>
      <c r="B14" s="2" t="s">
        <v>18</v>
      </c>
      <c r="C14" s="2" t="s">
        <v>49</v>
      </c>
      <c r="D14" s="2" t="s">
        <v>20</v>
      </c>
      <c r="E14" s="2" t="s">
        <v>41</v>
      </c>
      <c r="F14" s="2" t="s">
        <v>22</v>
      </c>
      <c r="G14" s="2"/>
      <c r="H14" s="3"/>
      <c r="I14" s="2" t="str">
        <f t="shared" si="0"/>
        <v/>
      </c>
      <c r="J14" s="4"/>
      <c r="K14" s="2"/>
      <c r="L14" s="2"/>
      <c r="M14" s="2" t="str">
        <f t="shared" si="1"/>
        <v/>
      </c>
      <c r="N14" s="2" t="s">
        <v>23</v>
      </c>
      <c r="O14" s="5" t="s">
        <v>24</v>
      </c>
      <c r="P14" s="2"/>
      <c r="Q14" s="2"/>
    </row>
    <row r="15" spans="1:17" ht="44.1" customHeight="1">
      <c r="A15" s="2" t="s">
        <v>50</v>
      </c>
      <c r="B15" s="2" t="s">
        <v>18</v>
      </c>
      <c r="C15" s="2" t="s">
        <v>51</v>
      </c>
      <c r="D15" s="2" t="s">
        <v>20</v>
      </c>
      <c r="E15" s="2" t="s">
        <v>41</v>
      </c>
      <c r="F15" s="2" t="s">
        <v>22</v>
      </c>
      <c r="G15" s="2"/>
      <c r="H15" s="3"/>
      <c r="I15" s="2" t="str">
        <f t="shared" si="0"/>
        <v/>
      </c>
      <c r="J15" s="4"/>
      <c r="K15" s="2"/>
      <c r="L15" s="2"/>
      <c r="M15" s="2" t="str">
        <f t="shared" si="1"/>
        <v/>
      </c>
      <c r="N15" s="2" t="s">
        <v>23</v>
      </c>
      <c r="O15" s="5" t="s">
        <v>24</v>
      </c>
      <c r="P15" s="2"/>
      <c r="Q15" s="2"/>
    </row>
    <row r="16" spans="1:17" ht="44.1" customHeight="1">
      <c r="A16" s="2" t="s">
        <v>52</v>
      </c>
      <c r="B16" s="2" t="s">
        <v>18</v>
      </c>
      <c r="C16" s="2" t="s">
        <v>53</v>
      </c>
      <c r="D16" s="2" t="s">
        <v>20</v>
      </c>
      <c r="E16" s="2" t="s">
        <v>41</v>
      </c>
      <c r="F16" s="2" t="s">
        <v>22</v>
      </c>
      <c r="G16" s="2"/>
      <c r="H16" s="3"/>
      <c r="I16" s="2" t="str">
        <f t="shared" si="0"/>
        <v/>
      </c>
      <c r="J16" s="4"/>
      <c r="K16" s="2"/>
      <c r="L16" s="2"/>
      <c r="M16" s="2" t="str">
        <f t="shared" si="1"/>
        <v/>
      </c>
      <c r="N16" s="2" t="s">
        <v>23</v>
      </c>
      <c r="O16" s="5" t="s">
        <v>24</v>
      </c>
      <c r="P16" s="2"/>
      <c r="Q16" s="2"/>
    </row>
    <row r="17" spans="1:17" ht="44.1" customHeight="1">
      <c r="A17" s="2" t="s">
        <v>54</v>
      </c>
      <c r="B17" s="2" t="s">
        <v>18</v>
      </c>
      <c r="C17" s="2" t="s">
        <v>55</v>
      </c>
      <c r="D17" s="2" t="s">
        <v>20</v>
      </c>
      <c r="E17" s="2" t="s">
        <v>41</v>
      </c>
      <c r="F17" s="2" t="s">
        <v>22</v>
      </c>
      <c r="G17" s="2"/>
      <c r="H17" s="3"/>
      <c r="I17" s="2" t="str">
        <f t="shared" si="0"/>
        <v/>
      </c>
      <c r="J17" s="4"/>
      <c r="K17" s="2"/>
      <c r="L17" s="2"/>
      <c r="M17" s="2" t="str">
        <f t="shared" si="1"/>
        <v/>
      </c>
      <c r="N17" s="2" t="s">
        <v>23</v>
      </c>
      <c r="O17" s="5" t="s">
        <v>24</v>
      </c>
      <c r="P17" s="2"/>
      <c r="Q17" s="2"/>
    </row>
    <row r="18" spans="1:17" ht="44.1" customHeight="1">
      <c r="A18" s="2" t="s">
        <v>56</v>
      </c>
      <c r="B18" s="2" t="s">
        <v>18</v>
      </c>
      <c r="C18" s="2" t="s">
        <v>57</v>
      </c>
      <c r="D18" s="2" t="s">
        <v>20</v>
      </c>
      <c r="E18" s="2" t="s">
        <v>58</v>
      </c>
      <c r="F18" s="2" t="s">
        <v>22</v>
      </c>
      <c r="G18" s="2"/>
      <c r="H18" s="3"/>
      <c r="I18" s="2" t="str">
        <f t="shared" si="0"/>
        <v/>
      </c>
      <c r="J18" s="4"/>
      <c r="K18" s="2"/>
      <c r="L18" s="2"/>
      <c r="M18" s="2" t="str">
        <f t="shared" si="1"/>
        <v/>
      </c>
      <c r="N18" s="2" t="s">
        <v>23</v>
      </c>
      <c r="O18" s="5" t="s">
        <v>24</v>
      </c>
      <c r="P18" s="2"/>
      <c r="Q18" s="2"/>
    </row>
    <row r="19" spans="1:17" ht="44.1" customHeight="1">
      <c r="A19" s="2" t="s">
        <v>59</v>
      </c>
      <c r="B19" s="2" t="s">
        <v>18</v>
      </c>
      <c r="C19" s="2" t="s">
        <v>60</v>
      </c>
      <c r="D19" s="2" t="s">
        <v>20</v>
      </c>
      <c r="E19" s="2" t="s">
        <v>58</v>
      </c>
      <c r="F19" s="2" t="s">
        <v>22</v>
      </c>
      <c r="G19" s="2"/>
      <c r="H19" s="3"/>
      <c r="I19" s="2" t="str">
        <f t="shared" si="0"/>
        <v/>
      </c>
      <c r="J19" s="4"/>
      <c r="K19" s="2"/>
      <c r="L19" s="2"/>
      <c r="M19" s="2" t="str">
        <f t="shared" si="1"/>
        <v/>
      </c>
      <c r="N19" s="2" t="s">
        <v>23</v>
      </c>
      <c r="O19" s="5" t="s">
        <v>24</v>
      </c>
      <c r="P19" s="2"/>
      <c r="Q19" s="2"/>
    </row>
    <row r="20" spans="1:17" ht="44.1" customHeight="1">
      <c r="A20" s="2" t="s">
        <v>61</v>
      </c>
      <c r="B20" s="2" t="s">
        <v>18</v>
      </c>
      <c r="C20" s="2" t="s">
        <v>62</v>
      </c>
      <c r="D20" s="2" t="s">
        <v>20</v>
      </c>
      <c r="E20" s="2" t="s">
        <v>58</v>
      </c>
      <c r="F20" s="2" t="s">
        <v>22</v>
      </c>
      <c r="G20" s="2"/>
      <c r="H20" s="3"/>
      <c r="I20" s="2" t="str">
        <f t="shared" si="0"/>
        <v/>
      </c>
      <c r="J20" s="4"/>
      <c r="K20" s="2"/>
      <c r="L20" s="2"/>
      <c r="M20" s="2" t="str">
        <f t="shared" si="1"/>
        <v/>
      </c>
      <c r="N20" s="2" t="s">
        <v>23</v>
      </c>
      <c r="O20" s="5" t="s">
        <v>24</v>
      </c>
      <c r="P20" s="2"/>
      <c r="Q20" s="2"/>
    </row>
    <row r="21" spans="1:17" ht="44.1" customHeight="1">
      <c r="A21" s="2" t="s">
        <v>63</v>
      </c>
      <c r="B21" s="2" t="s">
        <v>18</v>
      </c>
      <c r="C21" s="2" t="s">
        <v>64</v>
      </c>
      <c r="D21" s="2" t="s">
        <v>20</v>
      </c>
      <c r="E21" s="2" t="s">
        <v>58</v>
      </c>
      <c r="F21" s="2" t="s">
        <v>22</v>
      </c>
      <c r="G21" s="2"/>
      <c r="H21" s="3"/>
      <c r="I21" s="2" t="str">
        <f t="shared" si="0"/>
        <v/>
      </c>
      <c r="J21" s="4"/>
      <c r="K21" s="2"/>
      <c r="L21" s="2"/>
      <c r="M21" s="2" t="str">
        <f t="shared" si="1"/>
        <v/>
      </c>
      <c r="N21" s="2" t="s">
        <v>23</v>
      </c>
      <c r="O21" s="5" t="s">
        <v>24</v>
      </c>
      <c r="P21" s="2"/>
      <c r="Q21" s="2"/>
    </row>
    <row r="22" spans="1:17" ht="44.1" customHeight="1">
      <c r="A22" s="2" t="s">
        <v>65</v>
      </c>
      <c r="B22" s="2" t="s">
        <v>18</v>
      </c>
      <c r="C22" s="2" t="s">
        <v>66</v>
      </c>
      <c r="D22" s="2" t="s">
        <v>20</v>
      </c>
      <c r="E22" s="2" t="s">
        <v>58</v>
      </c>
      <c r="F22" s="2" t="s">
        <v>22</v>
      </c>
      <c r="G22" s="2"/>
      <c r="H22" s="3"/>
      <c r="I22" s="2" t="str">
        <f t="shared" si="0"/>
        <v/>
      </c>
      <c r="J22" s="4"/>
      <c r="K22" s="2"/>
      <c r="L22" s="2"/>
      <c r="M22" s="2" t="str">
        <f t="shared" si="1"/>
        <v/>
      </c>
      <c r="N22" s="2" t="s">
        <v>23</v>
      </c>
      <c r="O22" s="5" t="s">
        <v>24</v>
      </c>
      <c r="P22" s="2"/>
      <c r="Q22" s="2"/>
    </row>
    <row r="23" spans="1:17" ht="44.1" customHeight="1">
      <c r="A23" s="2" t="s">
        <v>67</v>
      </c>
      <c r="B23" s="2" t="s">
        <v>18</v>
      </c>
      <c r="C23" s="2" t="s">
        <v>68</v>
      </c>
      <c r="D23" s="2" t="s">
        <v>20</v>
      </c>
      <c r="E23" s="2" t="s">
        <v>58</v>
      </c>
      <c r="F23" s="2" t="s">
        <v>22</v>
      </c>
      <c r="G23" s="2"/>
      <c r="H23" s="3"/>
      <c r="I23" s="2" t="str">
        <f t="shared" si="0"/>
        <v/>
      </c>
      <c r="J23" s="4"/>
      <c r="K23" s="2"/>
      <c r="L23" s="2"/>
      <c r="M23" s="2" t="str">
        <f t="shared" si="1"/>
        <v/>
      </c>
      <c r="N23" s="2" t="s">
        <v>23</v>
      </c>
      <c r="O23" s="5" t="s">
        <v>24</v>
      </c>
      <c r="P23" s="2"/>
      <c r="Q23" s="2"/>
    </row>
    <row r="24" spans="1:17" ht="44.1" customHeight="1">
      <c r="A24" s="2" t="s">
        <v>69</v>
      </c>
      <c r="B24" s="2" t="s">
        <v>18</v>
      </c>
      <c r="C24" s="2" t="s">
        <v>70</v>
      </c>
      <c r="D24" s="2" t="s">
        <v>20</v>
      </c>
      <c r="E24" s="2" t="s">
        <v>58</v>
      </c>
      <c r="F24" s="2" t="s">
        <v>22</v>
      </c>
      <c r="G24" s="2"/>
      <c r="H24" s="3"/>
      <c r="I24" s="2" t="str">
        <f t="shared" si="0"/>
        <v/>
      </c>
      <c r="J24" s="4"/>
      <c r="K24" s="2"/>
      <c r="L24" s="2"/>
      <c r="M24" s="2" t="str">
        <f t="shared" si="1"/>
        <v/>
      </c>
      <c r="N24" s="2" t="s">
        <v>23</v>
      </c>
      <c r="O24" s="5" t="s">
        <v>24</v>
      </c>
      <c r="P24" s="2"/>
      <c r="Q24" s="2"/>
    </row>
    <row r="25" spans="1:17" ht="44.1" customHeight="1">
      <c r="A25" s="2" t="s">
        <v>71</v>
      </c>
      <c r="B25" s="2" t="s">
        <v>18</v>
      </c>
      <c r="C25" s="2" t="s">
        <v>72</v>
      </c>
      <c r="D25" s="2" t="s">
        <v>20</v>
      </c>
      <c r="E25" s="2" t="s">
        <v>58</v>
      </c>
      <c r="F25" s="2" t="s">
        <v>22</v>
      </c>
      <c r="G25" s="2"/>
      <c r="H25" s="3"/>
      <c r="I25" s="2" t="str">
        <f t="shared" si="0"/>
        <v/>
      </c>
      <c r="J25" s="4"/>
      <c r="K25" s="2"/>
      <c r="L25" s="2"/>
      <c r="M25" s="2" t="str">
        <f t="shared" si="1"/>
        <v/>
      </c>
      <c r="N25" s="2" t="s">
        <v>23</v>
      </c>
      <c r="O25" s="5" t="s">
        <v>24</v>
      </c>
      <c r="P25" s="2"/>
      <c r="Q25" s="2"/>
    </row>
    <row r="26" spans="1:17" ht="44.1" customHeight="1">
      <c r="A26" s="2" t="s">
        <v>73</v>
      </c>
      <c r="B26" s="2" t="s">
        <v>18</v>
      </c>
      <c r="C26" s="2" t="s">
        <v>74</v>
      </c>
      <c r="D26" s="2" t="s">
        <v>20</v>
      </c>
      <c r="E26" s="2" t="s">
        <v>75</v>
      </c>
      <c r="F26" s="2" t="s">
        <v>22</v>
      </c>
      <c r="G26" s="2"/>
      <c r="H26" s="3"/>
      <c r="I26" s="2" t="str">
        <f t="shared" si="0"/>
        <v/>
      </c>
      <c r="J26" s="4"/>
      <c r="K26" s="2"/>
      <c r="L26" s="2"/>
      <c r="M26" s="2" t="str">
        <f t="shared" si="1"/>
        <v/>
      </c>
      <c r="N26" s="2" t="s">
        <v>23</v>
      </c>
      <c r="O26" s="5" t="s">
        <v>24</v>
      </c>
      <c r="P26" s="2"/>
      <c r="Q26" s="2"/>
    </row>
    <row r="27" spans="1:17" ht="44.1" customHeight="1">
      <c r="A27" s="2" t="s">
        <v>76</v>
      </c>
      <c r="B27" s="2" t="s">
        <v>18</v>
      </c>
      <c r="C27" s="2" t="s">
        <v>77</v>
      </c>
      <c r="D27" s="2" t="s">
        <v>20</v>
      </c>
      <c r="E27" s="2" t="s">
        <v>75</v>
      </c>
      <c r="F27" s="2" t="s">
        <v>22</v>
      </c>
      <c r="G27" s="2"/>
      <c r="H27" s="3"/>
      <c r="I27" s="2" t="str">
        <f t="shared" si="0"/>
        <v/>
      </c>
      <c r="J27" s="4"/>
      <c r="K27" s="2"/>
      <c r="L27" s="2"/>
      <c r="M27" s="2" t="str">
        <f t="shared" si="1"/>
        <v/>
      </c>
      <c r="N27" s="2" t="s">
        <v>23</v>
      </c>
      <c r="O27" s="5" t="s">
        <v>24</v>
      </c>
      <c r="P27" s="2"/>
      <c r="Q27" s="2"/>
    </row>
    <row r="28" spans="1:17" ht="44.1" customHeight="1">
      <c r="A28" s="2" t="s">
        <v>78</v>
      </c>
      <c r="B28" s="2" t="s">
        <v>18</v>
      </c>
      <c r="C28" s="2" t="s">
        <v>79</v>
      </c>
      <c r="D28" s="2" t="s">
        <v>20</v>
      </c>
      <c r="E28" s="2" t="s">
        <v>75</v>
      </c>
      <c r="F28" s="2" t="s">
        <v>22</v>
      </c>
      <c r="G28" s="2"/>
      <c r="H28" s="3"/>
      <c r="I28" s="2" t="str">
        <f t="shared" si="0"/>
        <v/>
      </c>
      <c r="J28" s="4"/>
      <c r="K28" s="2"/>
      <c r="L28" s="2"/>
      <c r="M28" s="2" t="str">
        <f t="shared" si="1"/>
        <v/>
      </c>
      <c r="N28" s="2" t="s">
        <v>23</v>
      </c>
      <c r="O28" s="5" t="s">
        <v>24</v>
      </c>
      <c r="P28" s="2"/>
      <c r="Q28" s="2"/>
    </row>
    <row r="29" spans="1:17" ht="44.1" customHeight="1">
      <c r="A29" s="2" t="s">
        <v>80</v>
      </c>
      <c r="B29" s="2" t="s">
        <v>18</v>
      </c>
      <c r="C29" s="2" t="s">
        <v>81</v>
      </c>
      <c r="D29" s="2" t="s">
        <v>20</v>
      </c>
      <c r="E29" s="2" t="s">
        <v>75</v>
      </c>
      <c r="F29" s="2" t="s">
        <v>22</v>
      </c>
      <c r="G29" s="2"/>
      <c r="H29" s="3"/>
      <c r="I29" s="2" t="str">
        <f t="shared" si="0"/>
        <v/>
      </c>
      <c r="J29" s="4"/>
      <c r="K29" s="2"/>
      <c r="L29" s="2"/>
      <c r="M29" s="2" t="str">
        <f t="shared" si="1"/>
        <v/>
      </c>
      <c r="N29" s="2" t="s">
        <v>23</v>
      </c>
      <c r="O29" s="5" t="s">
        <v>24</v>
      </c>
      <c r="P29" s="2"/>
      <c r="Q29" s="2"/>
    </row>
    <row r="30" spans="1:17" ht="44.1" customHeight="1">
      <c r="A30" s="2" t="s">
        <v>82</v>
      </c>
      <c r="B30" s="2" t="s">
        <v>18</v>
      </c>
      <c r="C30" s="2" t="s">
        <v>83</v>
      </c>
      <c r="D30" s="2" t="s">
        <v>20</v>
      </c>
      <c r="E30" s="2" t="s">
        <v>75</v>
      </c>
      <c r="F30" s="2" t="s">
        <v>22</v>
      </c>
      <c r="G30" s="2"/>
      <c r="H30" s="3"/>
      <c r="I30" s="2" t="str">
        <f t="shared" si="0"/>
        <v/>
      </c>
      <c r="J30" s="4"/>
      <c r="K30" s="2"/>
      <c r="L30" s="2"/>
      <c r="M30" s="2" t="str">
        <f t="shared" si="1"/>
        <v/>
      </c>
      <c r="N30" s="2" t="s">
        <v>23</v>
      </c>
      <c r="O30" s="5" t="s">
        <v>24</v>
      </c>
      <c r="P30" s="2"/>
      <c r="Q30" s="2"/>
    </row>
    <row r="31" spans="1:17" ht="44.1" customHeight="1">
      <c r="A31" s="2" t="s">
        <v>84</v>
      </c>
      <c r="B31" s="2" t="s">
        <v>18</v>
      </c>
      <c r="C31" s="2" t="s">
        <v>85</v>
      </c>
      <c r="D31" s="2" t="s">
        <v>20</v>
      </c>
      <c r="E31" s="2" t="s">
        <v>75</v>
      </c>
      <c r="F31" s="2" t="s">
        <v>22</v>
      </c>
      <c r="G31" s="2"/>
      <c r="H31" s="3"/>
      <c r="I31" s="2" t="str">
        <f t="shared" si="0"/>
        <v/>
      </c>
      <c r="J31" s="4"/>
      <c r="K31" s="2"/>
      <c r="L31" s="2"/>
      <c r="M31" s="2" t="str">
        <f t="shared" si="1"/>
        <v/>
      </c>
      <c r="N31" s="2" t="s">
        <v>23</v>
      </c>
      <c r="O31" s="5" t="s">
        <v>24</v>
      </c>
      <c r="P31" s="2"/>
      <c r="Q31" s="2"/>
    </row>
    <row r="32" spans="1:17" ht="44.1" customHeight="1">
      <c r="A32" s="2" t="s">
        <v>86</v>
      </c>
      <c r="B32" s="2" t="s">
        <v>87</v>
      </c>
      <c r="C32" s="2" t="s">
        <v>88</v>
      </c>
      <c r="D32" s="2" t="s">
        <v>20</v>
      </c>
      <c r="E32" s="2" t="s">
        <v>89</v>
      </c>
      <c r="F32" s="2" t="s">
        <v>22</v>
      </c>
      <c r="G32" s="2"/>
      <c r="H32" s="3"/>
      <c r="I32" s="2" t="str">
        <f t="shared" si="0"/>
        <v/>
      </c>
      <c r="J32" s="4"/>
      <c r="K32" s="2"/>
      <c r="L32" s="2"/>
      <c r="M32" s="2" t="str">
        <f t="shared" si="1"/>
        <v/>
      </c>
      <c r="N32" s="2" t="s">
        <v>23</v>
      </c>
      <c r="O32" s="5" t="s">
        <v>24</v>
      </c>
      <c r="P32" s="2"/>
      <c r="Q32" s="2"/>
    </row>
    <row r="33" spans="1:17" ht="44.1" customHeight="1">
      <c r="A33" s="2" t="s">
        <v>90</v>
      </c>
      <c r="B33" s="2" t="s">
        <v>87</v>
      </c>
      <c r="C33" s="2" t="s">
        <v>91</v>
      </c>
      <c r="D33" s="2" t="s">
        <v>20</v>
      </c>
      <c r="E33" s="2" t="s">
        <v>89</v>
      </c>
      <c r="F33" s="2" t="s">
        <v>22</v>
      </c>
      <c r="G33" s="2"/>
      <c r="H33" s="3"/>
      <c r="I33" s="2" t="str">
        <f t="shared" si="0"/>
        <v/>
      </c>
      <c r="J33" s="4"/>
      <c r="K33" s="2"/>
      <c r="L33" s="2"/>
      <c r="M33" s="2" t="str">
        <f t="shared" si="1"/>
        <v/>
      </c>
      <c r="N33" s="2" t="s">
        <v>23</v>
      </c>
      <c r="O33" s="5" t="s">
        <v>24</v>
      </c>
      <c r="P33" s="2"/>
      <c r="Q33" s="2"/>
    </row>
    <row r="34" spans="1:17" ht="44.1" customHeight="1">
      <c r="A34" s="2" t="s">
        <v>92</v>
      </c>
      <c r="B34" s="2" t="s">
        <v>87</v>
      </c>
      <c r="C34" s="2" t="s">
        <v>93</v>
      </c>
      <c r="D34" s="2" t="s">
        <v>20</v>
      </c>
      <c r="E34" s="2" t="s">
        <v>89</v>
      </c>
      <c r="F34" s="2" t="s">
        <v>22</v>
      </c>
      <c r="G34" s="2"/>
      <c r="H34" s="3"/>
      <c r="I34" s="2" t="str">
        <f t="shared" ref="I34:I65" si="2">IF(G34="","",IF(AND(D34="詐騙",OR(G34="高風險",G34="中風險")),"是",IF(AND(D34="正常",G34="低風險"),"是","否")))</f>
        <v/>
      </c>
      <c r="J34" s="4"/>
      <c r="K34" s="2"/>
      <c r="L34" s="2"/>
      <c r="M34" s="2" t="str">
        <f t="shared" ref="M34:M65" si="3">IF(G34="","",IF(I34="是","",IF(AND(D34="詐騙",G34="低風險"),"漏判",IF(AND(D34="正常",OR(G34="中風險",G34="高風險")),"誤判","需檢查"))))</f>
        <v/>
      </c>
      <c r="N34" s="2" t="s">
        <v>23</v>
      </c>
      <c r="O34" s="5" t="s">
        <v>24</v>
      </c>
      <c r="P34" s="2"/>
      <c r="Q34" s="2"/>
    </row>
    <row r="35" spans="1:17" ht="44.1" customHeight="1">
      <c r="A35" s="2" t="s">
        <v>94</v>
      </c>
      <c r="B35" s="2" t="s">
        <v>87</v>
      </c>
      <c r="C35" s="2" t="s">
        <v>95</v>
      </c>
      <c r="D35" s="2" t="s">
        <v>20</v>
      </c>
      <c r="E35" s="2" t="s">
        <v>89</v>
      </c>
      <c r="F35" s="2" t="s">
        <v>22</v>
      </c>
      <c r="G35" s="2"/>
      <c r="H35" s="3"/>
      <c r="I35" s="2" t="str">
        <f t="shared" si="2"/>
        <v/>
      </c>
      <c r="J35" s="4"/>
      <c r="K35" s="2"/>
      <c r="L35" s="2"/>
      <c r="M35" s="2" t="str">
        <f t="shared" si="3"/>
        <v/>
      </c>
      <c r="N35" s="2" t="s">
        <v>23</v>
      </c>
      <c r="O35" s="5" t="s">
        <v>24</v>
      </c>
      <c r="P35" s="2"/>
      <c r="Q35" s="2"/>
    </row>
    <row r="36" spans="1:17" ht="44.1" customHeight="1">
      <c r="A36" s="2" t="s">
        <v>96</v>
      </c>
      <c r="B36" s="2" t="s">
        <v>87</v>
      </c>
      <c r="C36" s="2" t="s">
        <v>97</v>
      </c>
      <c r="D36" s="2" t="s">
        <v>20</v>
      </c>
      <c r="E36" s="2" t="s">
        <v>89</v>
      </c>
      <c r="F36" s="2" t="s">
        <v>22</v>
      </c>
      <c r="G36" s="2"/>
      <c r="H36" s="3"/>
      <c r="I36" s="2" t="str">
        <f t="shared" si="2"/>
        <v/>
      </c>
      <c r="J36" s="4"/>
      <c r="K36" s="2"/>
      <c r="L36" s="2"/>
      <c r="M36" s="2" t="str">
        <f t="shared" si="3"/>
        <v/>
      </c>
      <c r="N36" s="2" t="s">
        <v>23</v>
      </c>
      <c r="O36" s="5" t="s">
        <v>24</v>
      </c>
      <c r="P36" s="2"/>
      <c r="Q36" s="2"/>
    </row>
    <row r="37" spans="1:17" ht="44.1" customHeight="1">
      <c r="A37" s="2" t="s">
        <v>98</v>
      </c>
      <c r="B37" s="2" t="s">
        <v>87</v>
      </c>
      <c r="C37" s="2" t="s">
        <v>99</v>
      </c>
      <c r="D37" s="2" t="s">
        <v>20</v>
      </c>
      <c r="E37" s="2" t="s">
        <v>89</v>
      </c>
      <c r="F37" s="2" t="s">
        <v>22</v>
      </c>
      <c r="G37" s="2"/>
      <c r="H37" s="3"/>
      <c r="I37" s="2" t="str">
        <f t="shared" si="2"/>
        <v/>
      </c>
      <c r="J37" s="4"/>
      <c r="K37" s="2"/>
      <c r="L37" s="2"/>
      <c r="M37" s="2" t="str">
        <f t="shared" si="3"/>
        <v/>
      </c>
      <c r="N37" s="2" t="s">
        <v>23</v>
      </c>
      <c r="O37" s="5" t="s">
        <v>24</v>
      </c>
      <c r="P37" s="2"/>
      <c r="Q37" s="2"/>
    </row>
    <row r="38" spans="1:17" ht="44.1" customHeight="1">
      <c r="A38" s="2" t="s">
        <v>100</v>
      </c>
      <c r="B38" s="2" t="s">
        <v>87</v>
      </c>
      <c r="C38" s="2" t="s">
        <v>101</v>
      </c>
      <c r="D38" s="2" t="s">
        <v>20</v>
      </c>
      <c r="E38" s="2" t="s">
        <v>89</v>
      </c>
      <c r="F38" s="2" t="s">
        <v>22</v>
      </c>
      <c r="G38" s="2"/>
      <c r="H38" s="3"/>
      <c r="I38" s="2" t="str">
        <f t="shared" si="2"/>
        <v/>
      </c>
      <c r="J38" s="4"/>
      <c r="K38" s="2"/>
      <c r="L38" s="2"/>
      <c r="M38" s="2" t="str">
        <f t="shared" si="3"/>
        <v/>
      </c>
      <c r="N38" s="2" t="s">
        <v>23</v>
      </c>
      <c r="O38" s="5" t="s">
        <v>24</v>
      </c>
      <c r="P38" s="2"/>
      <c r="Q38" s="2"/>
    </row>
    <row r="39" spans="1:17" ht="44.1" customHeight="1">
      <c r="A39" s="2" t="s">
        <v>102</v>
      </c>
      <c r="B39" s="2" t="s">
        <v>87</v>
      </c>
      <c r="C39" s="2" t="s">
        <v>103</v>
      </c>
      <c r="D39" s="2" t="s">
        <v>20</v>
      </c>
      <c r="E39" s="2" t="s">
        <v>89</v>
      </c>
      <c r="F39" s="2" t="s">
        <v>22</v>
      </c>
      <c r="G39" s="2"/>
      <c r="H39" s="3"/>
      <c r="I39" s="2" t="str">
        <f t="shared" si="2"/>
        <v/>
      </c>
      <c r="J39" s="4"/>
      <c r="K39" s="2"/>
      <c r="L39" s="2"/>
      <c r="M39" s="2" t="str">
        <f t="shared" si="3"/>
        <v/>
      </c>
      <c r="N39" s="2" t="s">
        <v>23</v>
      </c>
      <c r="O39" s="5" t="s">
        <v>24</v>
      </c>
      <c r="P39" s="2"/>
      <c r="Q39" s="2"/>
    </row>
    <row r="40" spans="1:17" ht="44.1" customHeight="1">
      <c r="A40" s="2" t="s">
        <v>104</v>
      </c>
      <c r="B40" s="2" t="s">
        <v>87</v>
      </c>
      <c r="C40" s="2" t="s">
        <v>105</v>
      </c>
      <c r="D40" s="2" t="s">
        <v>20</v>
      </c>
      <c r="E40" s="2" t="s">
        <v>106</v>
      </c>
      <c r="F40" s="2" t="s">
        <v>22</v>
      </c>
      <c r="G40" s="2"/>
      <c r="H40" s="3"/>
      <c r="I40" s="2" t="str">
        <f t="shared" si="2"/>
        <v/>
      </c>
      <c r="J40" s="4"/>
      <c r="K40" s="2"/>
      <c r="L40" s="2"/>
      <c r="M40" s="2" t="str">
        <f t="shared" si="3"/>
        <v/>
      </c>
      <c r="N40" s="2" t="s">
        <v>23</v>
      </c>
      <c r="O40" s="5" t="s">
        <v>24</v>
      </c>
      <c r="P40" s="2"/>
      <c r="Q40" s="2"/>
    </row>
    <row r="41" spans="1:17" ht="44.1" customHeight="1">
      <c r="A41" s="2" t="s">
        <v>107</v>
      </c>
      <c r="B41" s="2" t="s">
        <v>87</v>
      </c>
      <c r="C41" s="2" t="s">
        <v>108</v>
      </c>
      <c r="D41" s="2" t="s">
        <v>20</v>
      </c>
      <c r="E41" s="2" t="s">
        <v>106</v>
      </c>
      <c r="F41" s="2" t="s">
        <v>22</v>
      </c>
      <c r="G41" s="2"/>
      <c r="H41" s="3"/>
      <c r="I41" s="2" t="str">
        <f t="shared" si="2"/>
        <v/>
      </c>
      <c r="J41" s="4"/>
      <c r="K41" s="2"/>
      <c r="L41" s="2"/>
      <c r="M41" s="2" t="str">
        <f t="shared" si="3"/>
        <v/>
      </c>
      <c r="N41" s="2" t="s">
        <v>23</v>
      </c>
      <c r="O41" s="5" t="s">
        <v>24</v>
      </c>
      <c r="P41" s="2"/>
      <c r="Q41" s="2"/>
    </row>
    <row r="42" spans="1:17" ht="44.1" customHeight="1">
      <c r="A42" s="2" t="s">
        <v>109</v>
      </c>
      <c r="B42" s="2" t="s">
        <v>87</v>
      </c>
      <c r="C42" s="2" t="s">
        <v>110</v>
      </c>
      <c r="D42" s="2" t="s">
        <v>20</v>
      </c>
      <c r="E42" s="2" t="s">
        <v>106</v>
      </c>
      <c r="F42" s="2" t="s">
        <v>22</v>
      </c>
      <c r="G42" s="2"/>
      <c r="H42" s="3"/>
      <c r="I42" s="2" t="str">
        <f t="shared" si="2"/>
        <v/>
      </c>
      <c r="J42" s="4"/>
      <c r="K42" s="2"/>
      <c r="L42" s="2"/>
      <c r="M42" s="2" t="str">
        <f t="shared" si="3"/>
        <v/>
      </c>
      <c r="N42" s="2" t="s">
        <v>23</v>
      </c>
      <c r="O42" s="5" t="s">
        <v>24</v>
      </c>
      <c r="P42" s="2"/>
      <c r="Q42" s="2"/>
    </row>
    <row r="43" spans="1:17" ht="44.1" customHeight="1">
      <c r="A43" s="2" t="s">
        <v>111</v>
      </c>
      <c r="B43" s="2" t="s">
        <v>87</v>
      </c>
      <c r="C43" s="2" t="s">
        <v>112</v>
      </c>
      <c r="D43" s="2" t="s">
        <v>20</v>
      </c>
      <c r="E43" s="2" t="s">
        <v>106</v>
      </c>
      <c r="F43" s="2" t="s">
        <v>22</v>
      </c>
      <c r="G43" s="2"/>
      <c r="H43" s="3"/>
      <c r="I43" s="2" t="str">
        <f t="shared" si="2"/>
        <v/>
      </c>
      <c r="J43" s="4"/>
      <c r="K43" s="2"/>
      <c r="L43" s="2"/>
      <c r="M43" s="2" t="str">
        <f t="shared" si="3"/>
        <v/>
      </c>
      <c r="N43" s="2" t="s">
        <v>23</v>
      </c>
      <c r="O43" s="5" t="s">
        <v>24</v>
      </c>
      <c r="P43" s="2"/>
      <c r="Q43" s="2"/>
    </row>
    <row r="44" spans="1:17" ht="44.1" customHeight="1">
      <c r="A44" s="2" t="s">
        <v>113</v>
      </c>
      <c r="B44" s="2" t="s">
        <v>87</v>
      </c>
      <c r="C44" s="2" t="s">
        <v>114</v>
      </c>
      <c r="D44" s="2" t="s">
        <v>20</v>
      </c>
      <c r="E44" s="2" t="s">
        <v>106</v>
      </c>
      <c r="F44" s="2" t="s">
        <v>22</v>
      </c>
      <c r="G44" s="2"/>
      <c r="H44" s="3"/>
      <c r="I44" s="2" t="str">
        <f t="shared" si="2"/>
        <v/>
      </c>
      <c r="J44" s="4"/>
      <c r="K44" s="2"/>
      <c r="L44" s="2"/>
      <c r="M44" s="2" t="str">
        <f t="shared" si="3"/>
        <v/>
      </c>
      <c r="N44" s="2" t="s">
        <v>23</v>
      </c>
      <c r="O44" s="5" t="s">
        <v>24</v>
      </c>
      <c r="P44" s="2"/>
      <c r="Q44" s="2"/>
    </row>
    <row r="45" spans="1:17" ht="44.1" customHeight="1">
      <c r="A45" s="2" t="s">
        <v>115</v>
      </c>
      <c r="B45" s="2" t="s">
        <v>87</v>
      </c>
      <c r="C45" s="2" t="s">
        <v>116</v>
      </c>
      <c r="D45" s="2" t="s">
        <v>20</v>
      </c>
      <c r="E45" s="2" t="s">
        <v>117</v>
      </c>
      <c r="F45" s="2" t="s">
        <v>22</v>
      </c>
      <c r="G45" s="2"/>
      <c r="H45" s="3"/>
      <c r="I45" s="2" t="str">
        <f t="shared" si="2"/>
        <v/>
      </c>
      <c r="J45" s="4"/>
      <c r="K45" s="2"/>
      <c r="L45" s="2"/>
      <c r="M45" s="2" t="str">
        <f t="shared" si="3"/>
        <v/>
      </c>
      <c r="N45" s="2" t="s">
        <v>23</v>
      </c>
      <c r="O45" s="5" t="s">
        <v>24</v>
      </c>
      <c r="P45" s="2"/>
      <c r="Q45" s="2"/>
    </row>
    <row r="46" spans="1:17" ht="44.1" customHeight="1">
      <c r="A46" s="2" t="s">
        <v>118</v>
      </c>
      <c r="B46" s="2" t="s">
        <v>87</v>
      </c>
      <c r="C46" s="2" t="s">
        <v>119</v>
      </c>
      <c r="D46" s="2" t="s">
        <v>20</v>
      </c>
      <c r="E46" s="2" t="s">
        <v>117</v>
      </c>
      <c r="F46" s="2" t="s">
        <v>22</v>
      </c>
      <c r="G46" s="2"/>
      <c r="H46" s="3"/>
      <c r="I46" s="2" t="str">
        <f t="shared" si="2"/>
        <v/>
      </c>
      <c r="J46" s="4"/>
      <c r="K46" s="2"/>
      <c r="L46" s="2"/>
      <c r="M46" s="2" t="str">
        <f t="shared" si="3"/>
        <v/>
      </c>
      <c r="N46" s="2" t="s">
        <v>23</v>
      </c>
      <c r="O46" s="5" t="s">
        <v>24</v>
      </c>
      <c r="P46" s="2"/>
      <c r="Q46" s="2"/>
    </row>
    <row r="47" spans="1:17" ht="44.1" customHeight="1">
      <c r="A47" s="2" t="s">
        <v>120</v>
      </c>
      <c r="B47" s="2" t="s">
        <v>87</v>
      </c>
      <c r="C47" s="2" t="s">
        <v>121</v>
      </c>
      <c r="D47" s="2" t="s">
        <v>20</v>
      </c>
      <c r="E47" s="2" t="s">
        <v>117</v>
      </c>
      <c r="F47" s="2" t="s">
        <v>22</v>
      </c>
      <c r="G47" s="2"/>
      <c r="H47" s="3"/>
      <c r="I47" s="2" t="str">
        <f t="shared" si="2"/>
        <v/>
      </c>
      <c r="J47" s="4"/>
      <c r="K47" s="2"/>
      <c r="L47" s="2"/>
      <c r="M47" s="2" t="str">
        <f t="shared" si="3"/>
        <v/>
      </c>
      <c r="N47" s="2" t="s">
        <v>23</v>
      </c>
      <c r="O47" s="5" t="s">
        <v>24</v>
      </c>
      <c r="P47" s="2"/>
      <c r="Q47" s="2"/>
    </row>
    <row r="48" spans="1:17" ht="44.1" customHeight="1">
      <c r="A48" s="2" t="s">
        <v>122</v>
      </c>
      <c r="B48" s="2" t="s">
        <v>87</v>
      </c>
      <c r="C48" s="2" t="s">
        <v>123</v>
      </c>
      <c r="D48" s="2" t="s">
        <v>20</v>
      </c>
      <c r="E48" s="2" t="s">
        <v>117</v>
      </c>
      <c r="F48" s="2" t="s">
        <v>22</v>
      </c>
      <c r="G48" s="2"/>
      <c r="H48" s="3"/>
      <c r="I48" s="2" t="str">
        <f t="shared" si="2"/>
        <v/>
      </c>
      <c r="J48" s="4"/>
      <c r="K48" s="2"/>
      <c r="L48" s="2"/>
      <c r="M48" s="2" t="str">
        <f t="shared" si="3"/>
        <v/>
      </c>
      <c r="N48" s="2" t="s">
        <v>23</v>
      </c>
      <c r="O48" s="5" t="s">
        <v>24</v>
      </c>
      <c r="P48" s="2"/>
      <c r="Q48" s="2"/>
    </row>
    <row r="49" spans="1:17" ht="44.1" customHeight="1">
      <c r="A49" s="2" t="s">
        <v>124</v>
      </c>
      <c r="B49" s="2" t="s">
        <v>87</v>
      </c>
      <c r="C49" s="2" t="s">
        <v>125</v>
      </c>
      <c r="D49" s="2" t="s">
        <v>20</v>
      </c>
      <c r="E49" s="2" t="s">
        <v>126</v>
      </c>
      <c r="F49" s="2" t="s">
        <v>22</v>
      </c>
      <c r="G49" s="2"/>
      <c r="H49" s="3"/>
      <c r="I49" s="2" t="str">
        <f t="shared" si="2"/>
        <v/>
      </c>
      <c r="J49" s="4"/>
      <c r="K49" s="2"/>
      <c r="L49" s="2"/>
      <c r="M49" s="2" t="str">
        <f t="shared" si="3"/>
        <v/>
      </c>
      <c r="N49" s="2" t="s">
        <v>23</v>
      </c>
      <c r="O49" s="5" t="s">
        <v>24</v>
      </c>
      <c r="P49" s="2"/>
      <c r="Q49" s="2"/>
    </row>
    <row r="50" spans="1:17" ht="44.1" customHeight="1">
      <c r="A50" s="2" t="s">
        <v>127</v>
      </c>
      <c r="B50" s="2" t="s">
        <v>87</v>
      </c>
      <c r="C50" s="2" t="s">
        <v>128</v>
      </c>
      <c r="D50" s="2" t="s">
        <v>20</v>
      </c>
      <c r="E50" s="2" t="s">
        <v>126</v>
      </c>
      <c r="F50" s="2" t="s">
        <v>22</v>
      </c>
      <c r="G50" s="2"/>
      <c r="H50" s="3"/>
      <c r="I50" s="2" t="str">
        <f t="shared" si="2"/>
        <v/>
      </c>
      <c r="J50" s="4"/>
      <c r="K50" s="2"/>
      <c r="L50" s="2"/>
      <c r="M50" s="2" t="str">
        <f t="shared" si="3"/>
        <v/>
      </c>
      <c r="N50" s="2" t="s">
        <v>23</v>
      </c>
      <c r="O50" s="5" t="s">
        <v>24</v>
      </c>
      <c r="P50" s="2"/>
      <c r="Q50" s="2"/>
    </row>
    <row r="51" spans="1:17" ht="44.1" customHeight="1">
      <c r="A51" s="2" t="s">
        <v>129</v>
      </c>
      <c r="B51" s="2" t="s">
        <v>87</v>
      </c>
      <c r="C51" s="2" t="s">
        <v>130</v>
      </c>
      <c r="D51" s="2" t="s">
        <v>20</v>
      </c>
      <c r="E51" s="2" t="s">
        <v>126</v>
      </c>
      <c r="F51" s="2" t="s">
        <v>22</v>
      </c>
      <c r="G51" s="2"/>
      <c r="H51" s="3"/>
      <c r="I51" s="2" t="str">
        <f t="shared" si="2"/>
        <v/>
      </c>
      <c r="J51" s="4"/>
      <c r="K51" s="2"/>
      <c r="L51" s="2"/>
      <c r="M51" s="2" t="str">
        <f t="shared" si="3"/>
        <v/>
      </c>
      <c r="N51" s="2" t="s">
        <v>23</v>
      </c>
      <c r="O51" s="5" t="s">
        <v>24</v>
      </c>
      <c r="P51" s="2"/>
      <c r="Q51" s="2"/>
    </row>
    <row r="52" spans="1:17" ht="44.1" customHeight="1">
      <c r="A52" s="2" t="s">
        <v>131</v>
      </c>
      <c r="B52" s="2" t="s">
        <v>132</v>
      </c>
      <c r="C52" s="2" t="s">
        <v>133</v>
      </c>
      <c r="D52" s="2" t="s">
        <v>134</v>
      </c>
      <c r="E52" s="2" t="s">
        <v>135</v>
      </c>
      <c r="F52" s="2" t="s">
        <v>136</v>
      </c>
      <c r="G52" s="2"/>
      <c r="H52" s="3"/>
      <c r="I52" s="2" t="str">
        <f t="shared" si="2"/>
        <v/>
      </c>
      <c r="J52" s="4"/>
      <c r="K52" s="2"/>
      <c r="L52" s="2"/>
      <c r="M52" s="2" t="str">
        <f t="shared" si="3"/>
        <v/>
      </c>
      <c r="N52" s="2" t="s">
        <v>23</v>
      </c>
      <c r="O52" s="5" t="s">
        <v>24</v>
      </c>
      <c r="P52" s="2"/>
      <c r="Q52" s="2"/>
    </row>
    <row r="53" spans="1:17" ht="44.1" customHeight="1">
      <c r="A53" s="2" t="s">
        <v>137</v>
      </c>
      <c r="B53" s="2" t="s">
        <v>132</v>
      </c>
      <c r="C53" s="2" t="s">
        <v>138</v>
      </c>
      <c r="D53" s="2" t="s">
        <v>134</v>
      </c>
      <c r="E53" s="2" t="s">
        <v>135</v>
      </c>
      <c r="F53" s="2" t="s">
        <v>136</v>
      </c>
      <c r="G53" s="2"/>
      <c r="H53" s="3"/>
      <c r="I53" s="2" t="str">
        <f t="shared" si="2"/>
        <v/>
      </c>
      <c r="J53" s="4"/>
      <c r="K53" s="2"/>
      <c r="L53" s="2"/>
      <c r="M53" s="2" t="str">
        <f t="shared" si="3"/>
        <v/>
      </c>
      <c r="N53" s="2" t="s">
        <v>23</v>
      </c>
      <c r="O53" s="5" t="s">
        <v>24</v>
      </c>
      <c r="P53" s="2"/>
      <c r="Q53" s="2"/>
    </row>
    <row r="54" spans="1:17" ht="44.1" customHeight="1">
      <c r="A54" s="2" t="s">
        <v>139</v>
      </c>
      <c r="B54" s="2" t="s">
        <v>132</v>
      </c>
      <c r="C54" s="2" t="s">
        <v>140</v>
      </c>
      <c r="D54" s="2" t="s">
        <v>134</v>
      </c>
      <c r="E54" s="2" t="s">
        <v>135</v>
      </c>
      <c r="F54" s="2" t="s">
        <v>136</v>
      </c>
      <c r="G54" s="2"/>
      <c r="H54" s="3"/>
      <c r="I54" s="2" t="str">
        <f t="shared" si="2"/>
        <v/>
      </c>
      <c r="J54" s="4"/>
      <c r="K54" s="2"/>
      <c r="L54" s="2"/>
      <c r="M54" s="2" t="str">
        <f t="shared" si="3"/>
        <v/>
      </c>
      <c r="N54" s="2" t="s">
        <v>23</v>
      </c>
      <c r="O54" s="5" t="s">
        <v>24</v>
      </c>
      <c r="P54" s="2"/>
      <c r="Q54" s="2"/>
    </row>
    <row r="55" spans="1:17" ht="44.1" customHeight="1">
      <c r="A55" s="2" t="s">
        <v>141</v>
      </c>
      <c r="B55" s="2" t="s">
        <v>132</v>
      </c>
      <c r="C55" s="2" t="s">
        <v>142</v>
      </c>
      <c r="D55" s="2" t="s">
        <v>134</v>
      </c>
      <c r="E55" s="2" t="s">
        <v>135</v>
      </c>
      <c r="F55" s="2" t="s">
        <v>136</v>
      </c>
      <c r="G55" s="2"/>
      <c r="H55" s="3"/>
      <c r="I55" s="2" t="str">
        <f t="shared" si="2"/>
        <v/>
      </c>
      <c r="J55" s="4"/>
      <c r="K55" s="2"/>
      <c r="L55" s="2"/>
      <c r="M55" s="2" t="str">
        <f t="shared" si="3"/>
        <v/>
      </c>
      <c r="N55" s="2" t="s">
        <v>23</v>
      </c>
      <c r="O55" s="5" t="s">
        <v>24</v>
      </c>
      <c r="P55" s="2"/>
      <c r="Q55" s="2"/>
    </row>
    <row r="56" spans="1:17" ht="44.1" customHeight="1">
      <c r="A56" s="2" t="s">
        <v>143</v>
      </c>
      <c r="B56" s="2" t="s">
        <v>132</v>
      </c>
      <c r="C56" s="2" t="s">
        <v>144</v>
      </c>
      <c r="D56" s="2" t="s">
        <v>134</v>
      </c>
      <c r="E56" s="2" t="s">
        <v>135</v>
      </c>
      <c r="F56" s="2" t="s">
        <v>136</v>
      </c>
      <c r="G56" s="2"/>
      <c r="H56" s="3"/>
      <c r="I56" s="2" t="str">
        <f t="shared" si="2"/>
        <v/>
      </c>
      <c r="J56" s="4"/>
      <c r="K56" s="2"/>
      <c r="L56" s="2"/>
      <c r="M56" s="2" t="str">
        <f t="shared" si="3"/>
        <v/>
      </c>
      <c r="N56" s="2" t="s">
        <v>23</v>
      </c>
      <c r="O56" s="5" t="s">
        <v>24</v>
      </c>
      <c r="P56" s="2"/>
      <c r="Q56" s="2"/>
    </row>
    <row r="57" spans="1:17" ht="44.1" customHeight="1">
      <c r="A57" s="2" t="s">
        <v>145</v>
      </c>
      <c r="B57" s="2" t="s">
        <v>132</v>
      </c>
      <c r="C57" s="2" t="s">
        <v>146</v>
      </c>
      <c r="D57" s="2" t="s">
        <v>134</v>
      </c>
      <c r="E57" s="2" t="s">
        <v>135</v>
      </c>
      <c r="F57" s="2" t="s">
        <v>136</v>
      </c>
      <c r="G57" s="2"/>
      <c r="H57" s="3"/>
      <c r="I57" s="2" t="str">
        <f t="shared" si="2"/>
        <v/>
      </c>
      <c r="J57" s="4"/>
      <c r="K57" s="2"/>
      <c r="L57" s="2"/>
      <c r="M57" s="2" t="str">
        <f t="shared" si="3"/>
        <v/>
      </c>
      <c r="N57" s="2" t="s">
        <v>23</v>
      </c>
      <c r="O57" s="5" t="s">
        <v>24</v>
      </c>
      <c r="P57" s="2"/>
      <c r="Q57" s="2"/>
    </row>
    <row r="58" spans="1:17" ht="44.1" customHeight="1">
      <c r="A58" s="2" t="s">
        <v>147</v>
      </c>
      <c r="B58" s="2" t="s">
        <v>132</v>
      </c>
      <c r="C58" s="2" t="s">
        <v>148</v>
      </c>
      <c r="D58" s="2" t="s">
        <v>134</v>
      </c>
      <c r="E58" s="2" t="s">
        <v>135</v>
      </c>
      <c r="F58" s="2" t="s">
        <v>136</v>
      </c>
      <c r="G58" s="2"/>
      <c r="H58" s="3"/>
      <c r="I58" s="2" t="str">
        <f t="shared" si="2"/>
        <v/>
      </c>
      <c r="J58" s="4"/>
      <c r="K58" s="2"/>
      <c r="L58" s="2"/>
      <c r="M58" s="2" t="str">
        <f t="shared" si="3"/>
        <v/>
      </c>
      <c r="N58" s="2" t="s">
        <v>23</v>
      </c>
      <c r="O58" s="5" t="s">
        <v>24</v>
      </c>
      <c r="P58" s="2"/>
      <c r="Q58" s="2"/>
    </row>
    <row r="59" spans="1:17" ht="44.1" customHeight="1">
      <c r="A59" s="2" t="s">
        <v>149</v>
      </c>
      <c r="B59" s="2" t="s">
        <v>132</v>
      </c>
      <c r="C59" s="2" t="s">
        <v>150</v>
      </c>
      <c r="D59" s="2" t="s">
        <v>134</v>
      </c>
      <c r="E59" s="2" t="s">
        <v>135</v>
      </c>
      <c r="F59" s="2" t="s">
        <v>136</v>
      </c>
      <c r="G59" s="2"/>
      <c r="H59" s="3"/>
      <c r="I59" s="2" t="str">
        <f t="shared" si="2"/>
        <v/>
      </c>
      <c r="J59" s="4"/>
      <c r="K59" s="2"/>
      <c r="L59" s="2"/>
      <c r="M59" s="2" t="str">
        <f t="shared" si="3"/>
        <v/>
      </c>
      <c r="N59" s="2" t="s">
        <v>23</v>
      </c>
      <c r="O59" s="5" t="s">
        <v>24</v>
      </c>
      <c r="P59" s="2"/>
      <c r="Q59" s="2"/>
    </row>
    <row r="60" spans="1:17" ht="44.1" customHeight="1">
      <c r="A60" s="2" t="s">
        <v>151</v>
      </c>
      <c r="B60" s="2" t="s">
        <v>132</v>
      </c>
      <c r="C60" s="2" t="s">
        <v>152</v>
      </c>
      <c r="D60" s="2" t="s">
        <v>134</v>
      </c>
      <c r="E60" s="2" t="s">
        <v>135</v>
      </c>
      <c r="F60" s="2" t="s">
        <v>136</v>
      </c>
      <c r="G60" s="2"/>
      <c r="H60" s="3"/>
      <c r="I60" s="2" t="str">
        <f t="shared" si="2"/>
        <v/>
      </c>
      <c r="J60" s="4"/>
      <c r="K60" s="2"/>
      <c r="L60" s="2"/>
      <c r="M60" s="2" t="str">
        <f t="shared" si="3"/>
        <v/>
      </c>
      <c r="N60" s="2" t="s">
        <v>23</v>
      </c>
      <c r="O60" s="5" t="s">
        <v>24</v>
      </c>
      <c r="P60" s="2"/>
      <c r="Q60" s="2"/>
    </row>
    <row r="61" spans="1:17" ht="44.1" customHeight="1">
      <c r="A61" s="2" t="s">
        <v>153</v>
      </c>
      <c r="B61" s="2" t="s">
        <v>132</v>
      </c>
      <c r="C61" s="2" t="s">
        <v>154</v>
      </c>
      <c r="D61" s="2" t="s">
        <v>134</v>
      </c>
      <c r="E61" s="2" t="s">
        <v>135</v>
      </c>
      <c r="F61" s="2" t="s">
        <v>136</v>
      </c>
      <c r="G61" s="2"/>
      <c r="H61" s="3"/>
      <c r="I61" s="2" t="str">
        <f t="shared" si="2"/>
        <v/>
      </c>
      <c r="J61" s="4"/>
      <c r="K61" s="2"/>
      <c r="L61" s="2"/>
      <c r="M61" s="2" t="str">
        <f t="shared" si="3"/>
        <v/>
      </c>
      <c r="N61" s="2" t="s">
        <v>23</v>
      </c>
      <c r="O61" s="5" t="s">
        <v>24</v>
      </c>
      <c r="P61" s="2"/>
      <c r="Q61" s="2"/>
    </row>
    <row r="62" spans="1:17" ht="44.1" customHeight="1">
      <c r="A62" s="2" t="s">
        <v>155</v>
      </c>
      <c r="B62" s="2" t="s">
        <v>132</v>
      </c>
      <c r="C62" s="2" t="s">
        <v>156</v>
      </c>
      <c r="D62" s="2" t="s">
        <v>134</v>
      </c>
      <c r="E62" s="2" t="s">
        <v>135</v>
      </c>
      <c r="F62" s="2" t="s">
        <v>136</v>
      </c>
      <c r="G62" s="2"/>
      <c r="H62" s="3"/>
      <c r="I62" s="2" t="str">
        <f t="shared" si="2"/>
        <v/>
      </c>
      <c r="J62" s="4"/>
      <c r="K62" s="2"/>
      <c r="L62" s="2"/>
      <c r="M62" s="2" t="str">
        <f t="shared" si="3"/>
        <v/>
      </c>
      <c r="N62" s="2" t="s">
        <v>23</v>
      </c>
      <c r="O62" s="5" t="s">
        <v>24</v>
      </c>
      <c r="P62" s="2"/>
      <c r="Q62" s="2"/>
    </row>
    <row r="63" spans="1:17" ht="44.1" customHeight="1">
      <c r="A63" s="2" t="s">
        <v>157</v>
      </c>
      <c r="B63" s="2" t="s">
        <v>132</v>
      </c>
      <c r="C63" s="2" t="s">
        <v>158</v>
      </c>
      <c r="D63" s="2" t="s">
        <v>134</v>
      </c>
      <c r="E63" s="2" t="s">
        <v>135</v>
      </c>
      <c r="F63" s="2" t="s">
        <v>136</v>
      </c>
      <c r="G63" s="2"/>
      <c r="H63" s="3"/>
      <c r="I63" s="2" t="str">
        <f t="shared" si="2"/>
        <v/>
      </c>
      <c r="J63" s="4"/>
      <c r="K63" s="2"/>
      <c r="L63" s="2"/>
      <c r="M63" s="2" t="str">
        <f t="shared" si="3"/>
        <v/>
      </c>
      <c r="N63" s="2" t="s">
        <v>23</v>
      </c>
      <c r="O63" s="5" t="s">
        <v>24</v>
      </c>
      <c r="P63" s="2"/>
      <c r="Q63" s="2"/>
    </row>
    <row r="64" spans="1:17" ht="44.1" customHeight="1">
      <c r="A64" s="2" t="s">
        <v>159</v>
      </c>
      <c r="B64" s="2" t="s">
        <v>132</v>
      </c>
      <c r="C64" s="2" t="s">
        <v>160</v>
      </c>
      <c r="D64" s="2" t="s">
        <v>134</v>
      </c>
      <c r="E64" s="2" t="s">
        <v>135</v>
      </c>
      <c r="F64" s="2" t="s">
        <v>136</v>
      </c>
      <c r="G64" s="2"/>
      <c r="H64" s="3"/>
      <c r="I64" s="2" t="str">
        <f t="shared" si="2"/>
        <v/>
      </c>
      <c r="J64" s="4"/>
      <c r="K64" s="2"/>
      <c r="L64" s="2"/>
      <c r="M64" s="2" t="str">
        <f t="shared" si="3"/>
        <v/>
      </c>
      <c r="N64" s="2" t="s">
        <v>23</v>
      </c>
      <c r="O64" s="5" t="s">
        <v>24</v>
      </c>
      <c r="P64" s="2"/>
      <c r="Q64" s="2"/>
    </row>
    <row r="65" spans="1:17" ht="44.1" customHeight="1">
      <c r="A65" s="2" t="s">
        <v>161</v>
      </c>
      <c r="B65" s="2" t="s">
        <v>132</v>
      </c>
      <c r="C65" s="2" t="s">
        <v>162</v>
      </c>
      <c r="D65" s="2" t="s">
        <v>134</v>
      </c>
      <c r="E65" s="2" t="s">
        <v>135</v>
      </c>
      <c r="F65" s="2" t="s">
        <v>136</v>
      </c>
      <c r="G65" s="2"/>
      <c r="H65" s="3"/>
      <c r="I65" s="2" t="str">
        <f t="shared" si="2"/>
        <v/>
      </c>
      <c r="J65" s="4"/>
      <c r="K65" s="2"/>
      <c r="L65" s="2"/>
      <c r="M65" s="2" t="str">
        <f t="shared" si="3"/>
        <v/>
      </c>
      <c r="N65" s="2" t="s">
        <v>23</v>
      </c>
      <c r="O65" s="5" t="s">
        <v>24</v>
      </c>
      <c r="P65" s="2"/>
      <c r="Q65" s="2"/>
    </row>
    <row r="66" spans="1:17" ht="44.1" customHeight="1">
      <c r="A66" s="2" t="s">
        <v>163</v>
      </c>
      <c r="B66" s="2" t="s">
        <v>132</v>
      </c>
      <c r="C66" s="2" t="s">
        <v>164</v>
      </c>
      <c r="D66" s="2" t="s">
        <v>134</v>
      </c>
      <c r="E66" s="2" t="s">
        <v>135</v>
      </c>
      <c r="F66" s="2" t="s">
        <v>136</v>
      </c>
      <c r="G66" s="2"/>
      <c r="H66" s="3"/>
      <c r="I66" s="2" t="str">
        <f t="shared" ref="I66:I101" si="4">IF(G66="","",IF(AND(D66="詐騙",OR(G66="高風險",G66="中風險")),"是",IF(AND(D66="正常",G66="低風險"),"是","否")))</f>
        <v/>
      </c>
      <c r="J66" s="4"/>
      <c r="K66" s="2"/>
      <c r="L66" s="2"/>
      <c r="M66" s="2" t="str">
        <f t="shared" ref="M66:M101" si="5">IF(G66="","",IF(I66="是","",IF(AND(D66="詐騙",G66="低風險"),"漏判",IF(AND(D66="正常",OR(G66="中風險",G66="高風險")),"誤判","需檢查"))))</f>
        <v/>
      </c>
      <c r="N66" s="2" t="s">
        <v>23</v>
      </c>
      <c r="O66" s="5" t="s">
        <v>24</v>
      </c>
      <c r="P66" s="2"/>
      <c r="Q66" s="2"/>
    </row>
    <row r="67" spans="1:17" ht="44.1" customHeight="1">
      <c r="A67" s="2" t="s">
        <v>165</v>
      </c>
      <c r="B67" s="2" t="s">
        <v>132</v>
      </c>
      <c r="C67" s="2" t="s">
        <v>166</v>
      </c>
      <c r="D67" s="2" t="s">
        <v>134</v>
      </c>
      <c r="E67" s="2" t="s">
        <v>135</v>
      </c>
      <c r="F67" s="2" t="s">
        <v>136</v>
      </c>
      <c r="G67" s="2"/>
      <c r="H67" s="3"/>
      <c r="I67" s="2" t="str">
        <f t="shared" si="4"/>
        <v/>
      </c>
      <c r="J67" s="4"/>
      <c r="K67" s="2"/>
      <c r="L67" s="2"/>
      <c r="M67" s="2" t="str">
        <f t="shared" si="5"/>
        <v/>
      </c>
      <c r="N67" s="2" t="s">
        <v>23</v>
      </c>
      <c r="O67" s="5" t="s">
        <v>24</v>
      </c>
      <c r="P67" s="2"/>
      <c r="Q67" s="2"/>
    </row>
    <row r="68" spans="1:17" ht="44.1" customHeight="1">
      <c r="A68" s="2" t="s">
        <v>167</v>
      </c>
      <c r="B68" s="2" t="s">
        <v>132</v>
      </c>
      <c r="C68" s="2" t="s">
        <v>168</v>
      </c>
      <c r="D68" s="2" t="s">
        <v>134</v>
      </c>
      <c r="E68" s="2" t="s">
        <v>135</v>
      </c>
      <c r="F68" s="2" t="s">
        <v>136</v>
      </c>
      <c r="G68" s="2"/>
      <c r="H68" s="3"/>
      <c r="I68" s="2" t="str">
        <f t="shared" si="4"/>
        <v/>
      </c>
      <c r="J68" s="4"/>
      <c r="K68" s="2"/>
      <c r="L68" s="2"/>
      <c r="M68" s="2" t="str">
        <f t="shared" si="5"/>
        <v/>
      </c>
      <c r="N68" s="2" t="s">
        <v>23</v>
      </c>
      <c r="O68" s="5" t="s">
        <v>24</v>
      </c>
      <c r="P68" s="2"/>
      <c r="Q68" s="2"/>
    </row>
    <row r="69" spans="1:17" ht="44.1" customHeight="1">
      <c r="A69" s="2" t="s">
        <v>169</v>
      </c>
      <c r="B69" s="2" t="s">
        <v>132</v>
      </c>
      <c r="C69" s="2" t="s">
        <v>170</v>
      </c>
      <c r="D69" s="2" t="s">
        <v>134</v>
      </c>
      <c r="E69" s="2" t="s">
        <v>135</v>
      </c>
      <c r="F69" s="2" t="s">
        <v>136</v>
      </c>
      <c r="G69" s="2"/>
      <c r="H69" s="3"/>
      <c r="I69" s="2" t="str">
        <f t="shared" si="4"/>
        <v/>
      </c>
      <c r="J69" s="4"/>
      <c r="K69" s="2"/>
      <c r="L69" s="2"/>
      <c r="M69" s="2" t="str">
        <f t="shared" si="5"/>
        <v/>
      </c>
      <c r="N69" s="2" t="s">
        <v>23</v>
      </c>
      <c r="O69" s="5" t="s">
        <v>24</v>
      </c>
      <c r="P69" s="2"/>
      <c r="Q69" s="2"/>
    </row>
    <row r="70" spans="1:17" ht="44.1" customHeight="1">
      <c r="A70" s="2" t="s">
        <v>171</v>
      </c>
      <c r="B70" s="2" t="s">
        <v>132</v>
      </c>
      <c r="C70" s="2" t="s">
        <v>172</v>
      </c>
      <c r="D70" s="2" t="s">
        <v>134</v>
      </c>
      <c r="E70" s="2" t="s">
        <v>135</v>
      </c>
      <c r="F70" s="2" t="s">
        <v>136</v>
      </c>
      <c r="G70" s="2"/>
      <c r="H70" s="3"/>
      <c r="I70" s="2" t="str">
        <f t="shared" si="4"/>
        <v/>
      </c>
      <c r="J70" s="4"/>
      <c r="K70" s="2"/>
      <c r="L70" s="2"/>
      <c r="M70" s="2" t="str">
        <f t="shared" si="5"/>
        <v/>
      </c>
      <c r="N70" s="2" t="s">
        <v>23</v>
      </c>
      <c r="O70" s="5" t="s">
        <v>24</v>
      </c>
      <c r="P70" s="2"/>
      <c r="Q70" s="2"/>
    </row>
    <row r="71" spans="1:17" ht="44.1" customHeight="1">
      <c r="A71" s="2" t="s">
        <v>173</v>
      </c>
      <c r="B71" s="2" t="s">
        <v>132</v>
      </c>
      <c r="C71" s="2" t="s">
        <v>174</v>
      </c>
      <c r="D71" s="2" t="s">
        <v>134</v>
      </c>
      <c r="E71" s="2" t="s">
        <v>135</v>
      </c>
      <c r="F71" s="2" t="s">
        <v>136</v>
      </c>
      <c r="G71" s="2"/>
      <c r="H71" s="3"/>
      <c r="I71" s="2" t="str">
        <f t="shared" si="4"/>
        <v/>
      </c>
      <c r="J71" s="4"/>
      <c r="K71" s="2"/>
      <c r="L71" s="2"/>
      <c r="M71" s="2" t="str">
        <f t="shared" si="5"/>
        <v/>
      </c>
      <c r="N71" s="2" t="s">
        <v>23</v>
      </c>
      <c r="O71" s="5" t="s">
        <v>24</v>
      </c>
      <c r="P71" s="2"/>
      <c r="Q71" s="2"/>
    </row>
    <row r="72" spans="1:17" ht="44.1" customHeight="1">
      <c r="A72" s="2" t="s">
        <v>175</v>
      </c>
      <c r="B72" s="2" t="s">
        <v>132</v>
      </c>
      <c r="C72" s="2" t="s">
        <v>176</v>
      </c>
      <c r="D72" s="2" t="s">
        <v>134</v>
      </c>
      <c r="E72" s="2" t="s">
        <v>135</v>
      </c>
      <c r="F72" s="2" t="s">
        <v>136</v>
      </c>
      <c r="G72" s="2"/>
      <c r="H72" s="3"/>
      <c r="I72" s="2" t="str">
        <f t="shared" si="4"/>
        <v/>
      </c>
      <c r="J72" s="4"/>
      <c r="K72" s="2"/>
      <c r="L72" s="2"/>
      <c r="M72" s="2" t="str">
        <f t="shared" si="5"/>
        <v/>
      </c>
      <c r="N72" s="2" t="s">
        <v>23</v>
      </c>
      <c r="O72" s="5" t="s">
        <v>24</v>
      </c>
      <c r="P72" s="2"/>
      <c r="Q72" s="2"/>
    </row>
    <row r="73" spans="1:17" ht="44.1" customHeight="1">
      <c r="A73" s="2" t="s">
        <v>177</v>
      </c>
      <c r="B73" s="2" t="s">
        <v>132</v>
      </c>
      <c r="C73" s="2" t="s">
        <v>178</v>
      </c>
      <c r="D73" s="2" t="s">
        <v>134</v>
      </c>
      <c r="E73" s="2" t="s">
        <v>135</v>
      </c>
      <c r="F73" s="2" t="s">
        <v>136</v>
      </c>
      <c r="G73" s="2"/>
      <c r="H73" s="3"/>
      <c r="I73" s="2" t="str">
        <f t="shared" si="4"/>
        <v/>
      </c>
      <c r="J73" s="4"/>
      <c r="K73" s="2"/>
      <c r="L73" s="2"/>
      <c r="M73" s="2" t="str">
        <f t="shared" si="5"/>
        <v/>
      </c>
      <c r="N73" s="2" t="s">
        <v>23</v>
      </c>
      <c r="O73" s="5" t="s">
        <v>24</v>
      </c>
      <c r="P73" s="2"/>
      <c r="Q73" s="2"/>
    </row>
    <row r="74" spans="1:17" ht="44.1" customHeight="1">
      <c r="A74" s="2" t="s">
        <v>179</v>
      </c>
      <c r="B74" s="2" t="s">
        <v>132</v>
      </c>
      <c r="C74" s="2" t="s">
        <v>180</v>
      </c>
      <c r="D74" s="2" t="s">
        <v>134</v>
      </c>
      <c r="E74" s="2" t="s">
        <v>135</v>
      </c>
      <c r="F74" s="2" t="s">
        <v>136</v>
      </c>
      <c r="G74" s="2"/>
      <c r="H74" s="3"/>
      <c r="I74" s="2" t="str">
        <f t="shared" si="4"/>
        <v/>
      </c>
      <c r="J74" s="4"/>
      <c r="K74" s="2"/>
      <c r="L74" s="2"/>
      <c r="M74" s="2" t="str">
        <f t="shared" si="5"/>
        <v/>
      </c>
      <c r="N74" s="2" t="s">
        <v>23</v>
      </c>
      <c r="O74" s="5" t="s">
        <v>24</v>
      </c>
      <c r="P74" s="2"/>
      <c r="Q74" s="2"/>
    </row>
    <row r="75" spans="1:17" ht="44.1" customHeight="1">
      <c r="A75" s="2" t="s">
        <v>181</v>
      </c>
      <c r="B75" s="2" t="s">
        <v>132</v>
      </c>
      <c r="C75" s="2" t="s">
        <v>182</v>
      </c>
      <c r="D75" s="2" t="s">
        <v>134</v>
      </c>
      <c r="E75" s="2" t="s">
        <v>135</v>
      </c>
      <c r="F75" s="2" t="s">
        <v>136</v>
      </c>
      <c r="G75" s="2"/>
      <c r="H75" s="3"/>
      <c r="I75" s="2" t="str">
        <f t="shared" si="4"/>
        <v/>
      </c>
      <c r="J75" s="4"/>
      <c r="K75" s="2"/>
      <c r="L75" s="2"/>
      <c r="M75" s="2" t="str">
        <f t="shared" si="5"/>
        <v/>
      </c>
      <c r="N75" s="2" t="s">
        <v>23</v>
      </c>
      <c r="O75" s="5" t="s">
        <v>24</v>
      </c>
      <c r="P75" s="2"/>
      <c r="Q75" s="2"/>
    </row>
    <row r="76" spans="1:17" ht="44.1" customHeight="1">
      <c r="A76" s="2" t="s">
        <v>183</v>
      </c>
      <c r="B76" s="2" t="s">
        <v>132</v>
      </c>
      <c r="C76" s="2" t="s">
        <v>184</v>
      </c>
      <c r="D76" s="2" t="s">
        <v>134</v>
      </c>
      <c r="E76" s="2" t="s">
        <v>135</v>
      </c>
      <c r="F76" s="2" t="s">
        <v>136</v>
      </c>
      <c r="G76" s="2"/>
      <c r="H76" s="3"/>
      <c r="I76" s="2" t="str">
        <f t="shared" si="4"/>
        <v/>
      </c>
      <c r="J76" s="4"/>
      <c r="K76" s="2"/>
      <c r="L76" s="2"/>
      <c r="M76" s="2" t="str">
        <f t="shared" si="5"/>
        <v/>
      </c>
      <c r="N76" s="2" t="s">
        <v>23</v>
      </c>
      <c r="O76" s="5" t="s">
        <v>24</v>
      </c>
      <c r="P76" s="2"/>
      <c r="Q76" s="2"/>
    </row>
    <row r="77" spans="1:17" ht="44.1" customHeight="1">
      <c r="A77" s="2" t="s">
        <v>185</v>
      </c>
      <c r="B77" s="2" t="s">
        <v>132</v>
      </c>
      <c r="C77" s="2" t="s">
        <v>186</v>
      </c>
      <c r="D77" s="2" t="s">
        <v>134</v>
      </c>
      <c r="E77" s="2" t="s">
        <v>135</v>
      </c>
      <c r="F77" s="2" t="s">
        <v>136</v>
      </c>
      <c r="G77" s="2"/>
      <c r="H77" s="3"/>
      <c r="I77" s="2" t="str">
        <f t="shared" si="4"/>
        <v/>
      </c>
      <c r="J77" s="4"/>
      <c r="K77" s="2"/>
      <c r="L77" s="2"/>
      <c r="M77" s="2" t="str">
        <f t="shared" si="5"/>
        <v/>
      </c>
      <c r="N77" s="2" t="s">
        <v>23</v>
      </c>
      <c r="O77" s="5" t="s">
        <v>24</v>
      </c>
      <c r="P77" s="2"/>
      <c r="Q77" s="2"/>
    </row>
    <row r="78" spans="1:17" ht="44.1" customHeight="1">
      <c r="A78" s="2" t="s">
        <v>187</v>
      </c>
      <c r="B78" s="2" t="s">
        <v>132</v>
      </c>
      <c r="C78" s="2" t="s">
        <v>188</v>
      </c>
      <c r="D78" s="2" t="s">
        <v>134</v>
      </c>
      <c r="E78" s="2" t="s">
        <v>135</v>
      </c>
      <c r="F78" s="2" t="s">
        <v>136</v>
      </c>
      <c r="G78" s="2"/>
      <c r="H78" s="3"/>
      <c r="I78" s="2" t="str">
        <f t="shared" si="4"/>
        <v/>
      </c>
      <c r="J78" s="4"/>
      <c r="K78" s="2"/>
      <c r="L78" s="2"/>
      <c r="M78" s="2" t="str">
        <f t="shared" si="5"/>
        <v/>
      </c>
      <c r="N78" s="2" t="s">
        <v>23</v>
      </c>
      <c r="O78" s="5" t="s">
        <v>24</v>
      </c>
      <c r="P78" s="2"/>
      <c r="Q78" s="2"/>
    </row>
    <row r="79" spans="1:17" ht="44.1" customHeight="1">
      <c r="A79" s="2" t="s">
        <v>189</v>
      </c>
      <c r="B79" s="2" t="s">
        <v>132</v>
      </c>
      <c r="C79" s="2" t="s">
        <v>190</v>
      </c>
      <c r="D79" s="2" t="s">
        <v>134</v>
      </c>
      <c r="E79" s="2" t="s">
        <v>135</v>
      </c>
      <c r="F79" s="2" t="s">
        <v>136</v>
      </c>
      <c r="G79" s="2"/>
      <c r="H79" s="3"/>
      <c r="I79" s="2" t="str">
        <f t="shared" si="4"/>
        <v/>
      </c>
      <c r="J79" s="4"/>
      <c r="K79" s="2"/>
      <c r="L79" s="2"/>
      <c r="M79" s="2" t="str">
        <f t="shared" si="5"/>
        <v/>
      </c>
      <c r="N79" s="2" t="s">
        <v>23</v>
      </c>
      <c r="O79" s="5" t="s">
        <v>24</v>
      </c>
      <c r="P79" s="2"/>
      <c r="Q79" s="2"/>
    </row>
    <row r="80" spans="1:17" ht="44.1" customHeight="1">
      <c r="A80" s="2" t="s">
        <v>191</v>
      </c>
      <c r="B80" s="2" t="s">
        <v>132</v>
      </c>
      <c r="C80" s="2" t="s">
        <v>192</v>
      </c>
      <c r="D80" s="2" t="s">
        <v>134</v>
      </c>
      <c r="E80" s="2" t="s">
        <v>135</v>
      </c>
      <c r="F80" s="2" t="s">
        <v>136</v>
      </c>
      <c r="G80" s="2"/>
      <c r="H80" s="3"/>
      <c r="I80" s="2" t="str">
        <f t="shared" si="4"/>
        <v/>
      </c>
      <c r="J80" s="4"/>
      <c r="K80" s="2"/>
      <c r="L80" s="2"/>
      <c r="M80" s="2" t="str">
        <f t="shared" si="5"/>
        <v/>
      </c>
      <c r="N80" s="2" t="s">
        <v>23</v>
      </c>
      <c r="O80" s="5" t="s">
        <v>24</v>
      </c>
      <c r="P80" s="2"/>
      <c r="Q80" s="2"/>
    </row>
    <row r="81" spans="1:17" ht="44.1" customHeight="1">
      <c r="A81" s="2" t="s">
        <v>193</v>
      </c>
      <c r="B81" s="2" t="s">
        <v>132</v>
      </c>
      <c r="C81" s="2" t="s">
        <v>194</v>
      </c>
      <c r="D81" s="2" t="s">
        <v>134</v>
      </c>
      <c r="E81" s="2" t="s">
        <v>135</v>
      </c>
      <c r="F81" s="2" t="s">
        <v>136</v>
      </c>
      <c r="G81" s="2"/>
      <c r="H81" s="3"/>
      <c r="I81" s="2" t="str">
        <f t="shared" si="4"/>
        <v/>
      </c>
      <c r="J81" s="4"/>
      <c r="K81" s="2"/>
      <c r="L81" s="2"/>
      <c r="M81" s="2" t="str">
        <f t="shared" si="5"/>
        <v/>
      </c>
      <c r="N81" s="2" t="s">
        <v>23</v>
      </c>
      <c r="O81" s="5" t="s">
        <v>24</v>
      </c>
      <c r="P81" s="2"/>
      <c r="Q81" s="2"/>
    </row>
    <row r="82" spans="1:17" ht="44.1" customHeight="1">
      <c r="A82" s="2" t="s">
        <v>195</v>
      </c>
      <c r="B82" s="2" t="s">
        <v>196</v>
      </c>
      <c r="C82" s="2" t="s">
        <v>197</v>
      </c>
      <c r="D82" s="2" t="s">
        <v>134</v>
      </c>
      <c r="E82" s="2" t="s">
        <v>135</v>
      </c>
      <c r="F82" s="2" t="s">
        <v>136</v>
      </c>
      <c r="G82" s="2"/>
      <c r="H82" s="3"/>
      <c r="I82" s="2" t="str">
        <f t="shared" si="4"/>
        <v/>
      </c>
      <c r="J82" s="4"/>
      <c r="K82" s="2"/>
      <c r="L82" s="2"/>
      <c r="M82" s="2" t="str">
        <f t="shared" si="5"/>
        <v/>
      </c>
      <c r="N82" s="2" t="s">
        <v>23</v>
      </c>
      <c r="O82" s="5" t="s">
        <v>24</v>
      </c>
      <c r="P82" s="2"/>
      <c r="Q82" s="2"/>
    </row>
    <row r="83" spans="1:17" ht="44.1" customHeight="1">
      <c r="A83" s="2" t="s">
        <v>198</v>
      </c>
      <c r="B83" s="2" t="s">
        <v>196</v>
      </c>
      <c r="C83" s="2" t="s">
        <v>199</v>
      </c>
      <c r="D83" s="2" t="s">
        <v>134</v>
      </c>
      <c r="E83" s="2" t="s">
        <v>135</v>
      </c>
      <c r="F83" s="2" t="s">
        <v>136</v>
      </c>
      <c r="G83" s="2"/>
      <c r="H83" s="3"/>
      <c r="I83" s="2" t="str">
        <f t="shared" si="4"/>
        <v/>
      </c>
      <c r="J83" s="4"/>
      <c r="K83" s="2"/>
      <c r="L83" s="2"/>
      <c r="M83" s="2" t="str">
        <f t="shared" si="5"/>
        <v/>
      </c>
      <c r="N83" s="2" t="s">
        <v>23</v>
      </c>
      <c r="O83" s="5" t="s">
        <v>24</v>
      </c>
      <c r="P83" s="2"/>
      <c r="Q83" s="2"/>
    </row>
    <row r="84" spans="1:17" ht="44.1" customHeight="1">
      <c r="A84" s="2" t="s">
        <v>200</v>
      </c>
      <c r="B84" s="2" t="s">
        <v>196</v>
      </c>
      <c r="C84" s="2" t="s">
        <v>201</v>
      </c>
      <c r="D84" s="2" t="s">
        <v>134</v>
      </c>
      <c r="E84" s="2" t="s">
        <v>135</v>
      </c>
      <c r="F84" s="2" t="s">
        <v>136</v>
      </c>
      <c r="G84" s="2"/>
      <c r="H84" s="3"/>
      <c r="I84" s="2" t="str">
        <f t="shared" si="4"/>
        <v/>
      </c>
      <c r="J84" s="4"/>
      <c r="K84" s="2"/>
      <c r="L84" s="2"/>
      <c r="M84" s="2" t="str">
        <f t="shared" si="5"/>
        <v/>
      </c>
      <c r="N84" s="2" t="s">
        <v>23</v>
      </c>
      <c r="O84" s="5" t="s">
        <v>24</v>
      </c>
      <c r="P84" s="2"/>
      <c r="Q84" s="2"/>
    </row>
    <row r="85" spans="1:17" ht="44.1" customHeight="1">
      <c r="A85" s="2" t="s">
        <v>202</v>
      </c>
      <c r="B85" s="2" t="s">
        <v>196</v>
      </c>
      <c r="C85" s="2" t="s">
        <v>203</v>
      </c>
      <c r="D85" s="2" t="s">
        <v>134</v>
      </c>
      <c r="E85" s="2" t="s">
        <v>135</v>
      </c>
      <c r="F85" s="2" t="s">
        <v>136</v>
      </c>
      <c r="G85" s="2"/>
      <c r="H85" s="3"/>
      <c r="I85" s="2" t="str">
        <f t="shared" si="4"/>
        <v/>
      </c>
      <c r="J85" s="4"/>
      <c r="K85" s="2"/>
      <c r="L85" s="2"/>
      <c r="M85" s="2" t="str">
        <f t="shared" si="5"/>
        <v/>
      </c>
      <c r="N85" s="2" t="s">
        <v>23</v>
      </c>
      <c r="O85" s="5" t="s">
        <v>24</v>
      </c>
      <c r="P85" s="2"/>
      <c r="Q85" s="2"/>
    </row>
    <row r="86" spans="1:17" ht="44.1" customHeight="1">
      <c r="A86" s="2" t="s">
        <v>204</v>
      </c>
      <c r="B86" s="2" t="s">
        <v>196</v>
      </c>
      <c r="C86" s="2" t="s">
        <v>205</v>
      </c>
      <c r="D86" s="2" t="s">
        <v>134</v>
      </c>
      <c r="E86" s="2" t="s">
        <v>135</v>
      </c>
      <c r="F86" s="2" t="s">
        <v>136</v>
      </c>
      <c r="G86" s="2"/>
      <c r="H86" s="3"/>
      <c r="I86" s="2" t="str">
        <f t="shared" si="4"/>
        <v/>
      </c>
      <c r="J86" s="4"/>
      <c r="K86" s="2"/>
      <c r="L86" s="2"/>
      <c r="M86" s="2" t="str">
        <f t="shared" si="5"/>
        <v/>
      </c>
      <c r="N86" s="2" t="s">
        <v>23</v>
      </c>
      <c r="O86" s="5" t="s">
        <v>24</v>
      </c>
      <c r="P86" s="2"/>
      <c r="Q86" s="2"/>
    </row>
    <row r="87" spans="1:17" ht="44.1" customHeight="1">
      <c r="A87" s="2" t="s">
        <v>206</v>
      </c>
      <c r="B87" s="2" t="s">
        <v>196</v>
      </c>
      <c r="C87" s="2" t="s">
        <v>207</v>
      </c>
      <c r="D87" s="2" t="s">
        <v>134</v>
      </c>
      <c r="E87" s="2" t="s">
        <v>135</v>
      </c>
      <c r="F87" s="2" t="s">
        <v>136</v>
      </c>
      <c r="G87" s="2"/>
      <c r="H87" s="3"/>
      <c r="I87" s="2" t="str">
        <f t="shared" si="4"/>
        <v/>
      </c>
      <c r="J87" s="4"/>
      <c r="K87" s="2"/>
      <c r="L87" s="2"/>
      <c r="M87" s="2" t="str">
        <f t="shared" si="5"/>
        <v/>
      </c>
      <c r="N87" s="2" t="s">
        <v>23</v>
      </c>
      <c r="O87" s="5" t="s">
        <v>24</v>
      </c>
      <c r="P87" s="2"/>
      <c r="Q87" s="2"/>
    </row>
    <row r="88" spans="1:17" ht="44.1" customHeight="1">
      <c r="A88" s="2" t="s">
        <v>208</v>
      </c>
      <c r="B88" s="2" t="s">
        <v>196</v>
      </c>
      <c r="C88" s="2" t="s">
        <v>209</v>
      </c>
      <c r="D88" s="2" t="s">
        <v>134</v>
      </c>
      <c r="E88" s="2" t="s">
        <v>135</v>
      </c>
      <c r="F88" s="2" t="s">
        <v>136</v>
      </c>
      <c r="G88" s="2"/>
      <c r="H88" s="3"/>
      <c r="I88" s="2" t="str">
        <f t="shared" si="4"/>
        <v/>
      </c>
      <c r="J88" s="4"/>
      <c r="K88" s="2"/>
      <c r="L88" s="2"/>
      <c r="M88" s="2" t="str">
        <f t="shared" si="5"/>
        <v/>
      </c>
      <c r="N88" s="2" t="s">
        <v>23</v>
      </c>
      <c r="O88" s="5" t="s">
        <v>24</v>
      </c>
      <c r="P88" s="2"/>
      <c r="Q88" s="2"/>
    </row>
    <row r="89" spans="1:17" ht="44.1" customHeight="1">
      <c r="A89" s="2" t="s">
        <v>210</v>
      </c>
      <c r="B89" s="2" t="s">
        <v>196</v>
      </c>
      <c r="C89" s="2" t="s">
        <v>211</v>
      </c>
      <c r="D89" s="2" t="s">
        <v>134</v>
      </c>
      <c r="E89" s="2" t="s">
        <v>135</v>
      </c>
      <c r="F89" s="2" t="s">
        <v>136</v>
      </c>
      <c r="G89" s="2"/>
      <c r="H89" s="3"/>
      <c r="I89" s="2" t="str">
        <f t="shared" si="4"/>
        <v/>
      </c>
      <c r="J89" s="4"/>
      <c r="K89" s="2"/>
      <c r="L89" s="2"/>
      <c r="M89" s="2" t="str">
        <f t="shared" si="5"/>
        <v/>
      </c>
      <c r="N89" s="2" t="s">
        <v>23</v>
      </c>
      <c r="O89" s="5" t="s">
        <v>24</v>
      </c>
      <c r="P89" s="2"/>
      <c r="Q89" s="2"/>
    </row>
    <row r="90" spans="1:17" ht="44.1" customHeight="1">
      <c r="A90" s="2" t="s">
        <v>212</v>
      </c>
      <c r="B90" s="2" t="s">
        <v>196</v>
      </c>
      <c r="C90" s="2" t="s">
        <v>213</v>
      </c>
      <c r="D90" s="2" t="s">
        <v>134</v>
      </c>
      <c r="E90" s="2" t="s">
        <v>135</v>
      </c>
      <c r="F90" s="2" t="s">
        <v>136</v>
      </c>
      <c r="G90" s="2"/>
      <c r="H90" s="3"/>
      <c r="I90" s="2" t="str">
        <f t="shared" si="4"/>
        <v/>
      </c>
      <c r="J90" s="4"/>
      <c r="K90" s="2"/>
      <c r="L90" s="2"/>
      <c r="M90" s="2" t="str">
        <f t="shared" si="5"/>
        <v/>
      </c>
      <c r="N90" s="2" t="s">
        <v>23</v>
      </c>
      <c r="O90" s="5" t="s">
        <v>24</v>
      </c>
      <c r="P90" s="2"/>
      <c r="Q90" s="2"/>
    </row>
    <row r="91" spans="1:17" ht="44.1" customHeight="1">
      <c r="A91" s="2" t="s">
        <v>214</v>
      </c>
      <c r="B91" s="2" t="s">
        <v>196</v>
      </c>
      <c r="C91" s="2" t="s">
        <v>215</v>
      </c>
      <c r="D91" s="2" t="s">
        <v>134</v>
      </c>
      <c r="E91" s="2" t="s">
        <v>135</v>
      </c>
      <c r="F91" s="2" t="s">
        <v>136</v>
      </c>
      <c r="G91" s="2"/>
      <c r="H91" s="3"/>
      <c r="I91" s="2" t="str">
        <f t="shared" si="4"/>
        <v/>
      </c>
      <c r="J91" s="4"/>
      <c r="K91" s="2"/>
      <c r="L91" s="2"/>
      <c r="M91" s="2" t="str">
        <f t="shared" si="5"/>
        <v/>
      </c>
      <c r="N91" s="2" t="s">
        <v>23</v>
      </c>
      <c r="O91" s="5" t="s">
        <v>24</v>
      </c>
      <c r="P91" s="2"/>
      <c r="Q91" s="2"/>
    </row>
    <row r="92" spans="1:17" ht="44.1" customHeight="1">
      <c r="A92" s="2" t="s">
        <v>216</v>
      </c>
      <c r="B92" s="2" t="s">
        <v>196</v>
      </c>
      <c r="C92" s="2" t="s">
        <v>217</v>
      </c>
      <c r="D92" s="2" t="s">
        <v>134</v>
      </c>
      <c r="E92" s="2" t="s">
        <v>135</v>
      </c>
      <c r="F92" s="2" t="s">
        <v>136</v>
      </c>
      <c r="G92" s="2"/>
      <c r="H92" s="3"/>
      <c r="I92" s="2" t="str">
        <f t="shared" si="4"/>
        <v/>
      </c>
      <c r="J92" s="4"/>
      <c r="K92" s="2"/>
      <c r="L92" s="2"/>
      <c r="M92" s="2" t="str">
        <f t="shared" si="5"/>
        <v/>
      </c>
      <c r="N92" s="2" t="s">
        <v>23</v>
      </c>
      <c r="O92" s="5" t="s">
        <v>24</v>
      </c>
      <c r="P92" s="2"/>
      <c r="Q92" s="2"/>
    </row>
    <row r="93" spans="1:17" ht="44.1" customHeight="1">
      <c r="A93" s="2" t="s">
        <v>218</v>
      </c>
      <c r="B93" s="2" t="s">
        <v>196</v>
      </c>
      <c r="C93" s="2" t="s">
        <v>219</v>
      </c>
      <c r="D93" s="2" t="s">
        <v>134</v>
      </c>
      <c r="E93" s="2" t="s">
        <v>135</v>
      </c>
      <c r="F93" s="2" t="s">
        <v>136</v>
      </c>
      <c r="G93" s="2"/>
      <c r="H93" s="3"/>
      <c r="I93" s="2" t="str">
        <f t="shared" si="4"/>
        <v/>
      </c>
      <c r="J93" s="4"/>
      <c r="K93" s="2"/>
      <c r="L93" s="2"/>
      <c r="M93" s="2" t="str">
        <f t="shared" si="5"/>
        <v/>
      </c>
      <c r="N93" s="2" t="s">
        <v>23</v>
      </c>
      <c r="O93" s="5" t="s">
        <v>24</v>
      </c>
      <c r="P93" s="2"/>
      <c r="Q93" s="2"/>
    </row>
    <row r="94" spans="1:17" ht="44.1" customHeight="1">
      <c r="A94" s="2" t="s">
        <v>220</v>
      </c>
      <c r="B94" s="2" t="s">
        <v>196</v>
      </c>
      <c r="C94" s="2" t="s">
        <v>221</v>
      </c>
      <c r="D94" s="2" t="s">
        <v>134</v>
      </c>
      <c r="E94" s="2" t="s">
        <v>135</v>
      </c>
      <c r="F94" s="2" t="s">
        <v>136</v>
      </c>
      <c r="G94" s="2"/>
      <c r="H94" s="3"/>
      <c r="I94" s="2" t="str">
        <f t="shared" si="4"/>
        <v/>
      </c>
      <c r="J94" s="4"/>
      <c r="K94" s="2"/>
      <c r="L94" s="2"/>
      <c r="M94" s="2" t="str">
        <f t="shared" si="5"/>
        <v/>
      </c>
      <c r="N94" s="2" t="s">
        <v>23</v>
      </c>
      <c r="O94" s="5" t="s">
        <v>24</v>
      </c>
      <c r="P94" s="2"/>
      <c r="Q94" s="2"/>
    </row>
    <row r="95" spans="1:17" ht="44.1" customHeight="1">
      <c r="A95" s="2" t="s">
        <v>222</v>
      </c>
      <c r="B95" s="2" t="s">
        <v>196</v>
      </c>
      <c r="C95" s="2" t="s">
        <v>223</v>
      </c>
      <c r="D95" s="2" t="s">
        <v>134</v>
      </c>
      <c r="E95" s="2" t="s">
        <v>135</v>
      </c>
      <c r="F95" s="2" t="s">
        <v>136</v>
      </c>
      <c r="G95" s="2"/>
      <c r="H95" s="3"/>
      <c r="I95" s="2" t="str">
        <f t="shared" si="4"/>
        <v/>
      </c>
      <c r="J95" s="4"/>
      <c r="K95" s="2"/>
      <c r="L95" s="2"/>
      <c r="M95" s="2" t="str">
        <f t="shared" si="5"/>
        <v/>
      </c>
      <c r="N95" s="2" t="s">
        <v>23</v>
      </c>
      <c r="O95" s="5" t="s">
        <v>24</v>
      </c>
      <c r="P95" s="2"/>
      <c r="Q95" s="2"/>
    </row>
    <row r="96" spans="1:17" ht="44.1" customHeight="1">
      <c r="A96" s="2" t="s">
        <v>224</v>
      </c>
      <c r="B96" s="2" t="s">
        <v>196</v>
      </c>
      <c r="C96" s="2" t="s">
        <v>225</v>
      </c>
      <c r="D96" s="2" t="s">
        <v>134</v>
      </c>
      <c r="E96" s="2" t="s">
        <v>135</v>
      </c>
      <c r="F96" s="2" t="s">
        <v>136</v>
      </c>
      <c r="G96" s="2"/>
      <c r="H96" s="3"/>
      <c r="I96" s="2" t="str">
        <f t="shared" si="4"/>
        <v/>
      </c>
      <c r="J96" s="4"/>
      <c r="K96" s="2"/>
      <c r="L96" s="2"/>
      <c r="M96" s="2" t="str">
        <f t="shared" si="5"/>
        <v/>
      </c>
      <c r="N96" s="2" t="s">
        <v>23</v>
      </c>
      <c r="O96" s="5" t="s">
        <v>24</v>
      </c>
      <c r="P96" s="2"/>
      <c r="Q96" s="2"/>
    </row>
    <row r="97" spans="1:17" ht="44.1" customHeight="1">
      <c r="A97" s="2" t="s">
        <v>226</v>
      </c>
      <c r="B97" s="2" t="s">
        <v>196</v>
      </c>
      <c r="C97" s="2" t="s">
        <v>227</v>
      </c>
      <c r="D97" s="2" t="s">
        <v>134</v>
      </c>
      <c r="E97" s="2" t="s">
        <v>135</v>
      </c>
      <c r="F97" s="2" t="s">
        <v>136</v>
      </c>
      <c r="G97" s="2"/>
      <c r="H97" s="3"/>
      <c r="I97" s="2" t="str">
        <f t="shared" si="4"/>
        <v/>
      </c>
      <c r="J97" s="4"/>
      <c r="K97" s="2"/>
      <c r="L97" s="2"/>
      <c r="M97" s="2" t="str">
        <f t="shared" si="5"/>
        <v/>
      </c>
      <c r="N97" s="2" t="s">
        <v>23</v>
      </c>
      <c r="O97" s="5" t="s">
        <v>24</v>
      </c>
      <c r="P97" s="2"/>
      <c r="Q97" s="2"/>
    </row>
    <row r="98" spans="1:17" ht="44.1" customHeight="1">
      <c r="A98" s="2" t="s">
        <v>228</v>
      </c>
      <c r="B98" s="2" t="s">
        <v>196</v>
      </c>
      <c r="C98" s="2" t="s">
        <v>229</v>
      </c>
      <c r="D98" s="2" t="s">
        <v>134</v>
      </c>
      <c r="E98" s="2" t="s">
        <v>135</v>
      </c>
      <c r="F98" s="2" t="s">
        <v>136</v>
      </c>
      <c r="G98" s="2"/>
      <c r="H98" s="3"/>
      <c r="I98" s="2" t="str">
        <f t="shared" si="4"/>
        <v/>
      </c>
      <c r="J98" s="4"/>
      <c r="K98" s="2"/>
      <c r="L98" s="2"/>
      <c r="M98" s="2" t="str">
        <f t="shared" si="5"/>
        <v/>
      </c>
      <c r="N98" s="2" t="s">
        <v>23</v>
      </c>
      <c r="O98" s="5" t="s">
        <v>24</v>
      </c>
      <c r="P98" s="2"/>
      <c r="Q98" s="2"/>
    </row>
    <row r="99" spans="1:17" ht="44.1" customHeight="1">
      <c r="A99" s="2" t="s">
        <v>230</v>
      </c>
      <c r="B99" s="2" t="s">
        <v>196</v>
      </c>
      <c r="C99" s="2" t="s">
        <v>231</v>
      </c>
      <c r="D99" s="2" t="s">
        <v>134</v>
      </c>
      <c r="E99" s="2" t="s">
        <v>135</v>
      </c>
      <c r="F99" s="2" t="s">
        <v>136</v>
      </c>
      <c r="G99" s="2"/>
      <c r="H99" s="3"/>
      <c r="I99" s="2" t="str">
        <f t="shared" si="4"/>
        <v/>
      </c>
      <c r="J99" s="4"/>
      <c r="K99" s="2"/>
      <c r="L99" s="2"/>
      <c r="M99" s="2" t="str">
        <f t="shared" si="5"/>
        <v/>
      </c>
      <c r="N99" s="2" t="s">
        <v>23</v>
      </c>
      <c r="O99" s="5" t="s">
        <v>24</v>
      </c>
      <c r="P99" s="2"/>
      <c r="Q99" s="2"/>
    </row>
    <row r="100" spans="1:17" ht="44.1" customHeight="1">
      <c r="A100" s="2" t="s">
        <v>232</v>
      </c>
      <c r="B100" s="2" t="s">
        <v>196</v>
      </c>
      <c r="C100" s="2" t="s">
        <v>233</v>
      </c>
      <c r="D100" s="2" t="s">
        <v>134</v>
      </c>
      <c r="E100" s="2" t="s">
        <v>135</v>
      </c>
      <c r="F100" s="2" t="s">
        <v>136</v>
      </c>
      <c r="G100" s="2"/>
      <c r="H100" s="3"/>
      <c r="I100" s="2" t="str">
        <f t="shared" si="4"/>
        <v/>
      </c>
      <c r="J100" s="4"/>
      <c r="K100" s="2"/>
      <c r="L100" s="2"/>
      <c r="M100" s="2" t="str">
        <f t="shared" si="5"/>
        <v/>
      </c>
      <c r="N100" s="2" t="s">
        <v>23</v>
      </c>
      <c r="O100" s="5" t="s">
        <v>24</v>
      </c>
      <c r="P100" s="2"/>
      <c r="Q100" s="2"/>
    </row>
    <row r="101" spans="1:17" ht="44.1" customHeight="1">
      <c r="A101" s="2" t="s">
        <v>234</v>
      </c>
      <c r="B101" s="2" t="s">
        <v>196</v>
      </c>
      <c r="C101" s="2" t="s">
        <v>235</v>
      </c>
      <c r="D101" s="2" t="s">
        <v>134</v>
      </c>
      <c r="E101" s="2" t="s">
        <v>135</v>
      </c>
      <c r="F101" s="2" t="s">
        <v>136</v>
      </c>
      <c r="G101" s="2"/>
      <c r="H101" s="3"/>
      <c r="I101" s="2" t="str">
        <f t="shared" si="4"/>
        <v/>
      </c>
      <c r="J101" s="4"/>
      <c r="K101" s="2"/>
      <c r="L101" s="2"/>
      <c r="M101" s="2" t="str">
        <f t="shared" si="5"/>
        <v/>
      </c>
      <c r="N101" s="2" t="s">
        <v>23</v>
      </c>
      <c r="O101" s="5" t="s">
        <v>24</v>
      </c>
      <c r="P101" s="2"/>
      <c r="Q101" s="2"/>
    </row>
  </sheetData>
  <phoneticPr fontId="6" type="noConversion"/>
  <conditionalFormatting sqref="I2:I101">
    <cfRule type="expression" dxfId="4" priority="1">
      <formula>$I2="是"</formula>
    </cfRule>
    <cfRule type="expression" dxfId="3" priority="2">
      <formula>$I2="否"</formula>
    </cfRule>
  </conditionalFormatting>
  <conditionalFormatting sqref="G2:G101">
    <cfRule type="expression" dxfId="2" priority="3">
      <formula>$G2="高風險"</formula>
    </cfRule>
    <cfRule type="expression" dxfId="1" priority="4">
      <formula>$G2="中風險"</formula>
    </cfRule>
    <cfRule type="expression" dxfId="0" priority="5">
      <formula>$G2="低風險"</formula>
    </cfRule>
  </conditionalFormatting>
  <dataValidations count="3">
    <dataValidation type="list" sqref="G2:G101" xr:uid="{00000000-0002-0000-0000-000000000000}">
      <formula1>"高風險,中風險,低風險"</formula1>
    </dataValidation>
    <dataValidation type="list" sqref="K2:L101" xr:uid="{00000000-0002-0000-0000-000001000000}">
      <formula1>"成功,失敗,不適用,未測"</formula1>
    </dataValidation>
    <dataValidation type="list" sqref="P2:P101" xr:uid="{00000000-0002-0000-0000-000002000000}">
      <formula1>"Cassie,A同學,B同學,C同學,未填"</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workbookViewId="0"/>
  </sheetViews>
  <sheetFormatPr defaultRowHeight="14.25"/>
  <cols>
    <col min="1" max="1" width="22" customWidth="1"/>
    <col min="2" max="2" width="18" customWidth="1"/>
    <col min="3" max="3" width="36" customWidth="1"/>
    <col min="4" max="8" width="18" customWidth="1"/>
  </cols>
  <sheetData>
    <row r="1" spans="1:8" ht="33.950000000000003" customHeight="1">
      <c r="A1" s="18" t="s">
        <v>236</v>
      </c>
      <c r="B1" s="19"/>
      <c r="C1" s="19"/>
      <c r="D1" s="19"/>
      <c r="E1" s="19"/>
      <c r="F1" s="19"/>
      <c r="G1" s="19"/>
      <c r="H1" s="19"/>
    </row>
    <row r="3" spans="1:8" ht="15">
      <c r="A3" s="1" t="s">
        <v>237</v>
      </c>
      <c r="B3" s="1" t="s">
        <v>238</v>
      </c>
      <c r="C3" s="1" t="s">
        <v>239</v>
      </c>
      <c r="E3" s="6" t="s">
        <v>1</v>
      </c>
      <c r="F3" s="6" t="s">
        <v>240</v>
      </c>
    </row>
    <row r="4" spans="1:8" ht="15">
      <c r="A4" s="7" t="s">
        <v>241</v>
      </c>
      <c r="B4" s="9">
        <f>COUNTA(測試資料集!A2:A101)</f>
        <v>100</v>
      </c>
      <c r="C4" s="8" t="s">
        <v>242</v>
      </c>
      <c r="E4" s="12" t="s">
        <v>18</v>
      </c>
      <c r="F4">
        <f>COUNTIF(測試資料集!B2:B101,"詐騙簡訊")</f>
        <v>30</v>
      </c>
    </row>
    <row r="5" spans="1:8" ht="15">
      <c r="A5" s="7" t="s">
        <v>243</v>
      </c>
      <c r="B5" s="9">
        <f>COUNTIF(測試資料集!D2:D101,"詐騙")</f>
        <v>50</v>
      </c>
      <c r="C5" s="8" t="s">
        <v>244</v>
      </c>
      <c r="E5" s="12" t="s">
        <v>87</v>
      </c>
      <c r="F5">
        <f>COUNTIF(測試資料集!B2:B101,"詐騙網站文字")</f>
        <v>20</v>
      </c>
    </row>
    <row r="6" spans="1:8" ht="15">
      <c r="A6" s="7" t="s">
        <v>245</v>
      </c>
      <c r="B6" s="9">
        <f>COUNTIF(測試資料集!D2:D101,"正常")</f>
        <v>50</v>
      </c>
      <c r="C6" s="8" t="s">
        <v>246</v>
      </c>
      <c r="E6" s="12" t="s">
        <v>132</v>
      </c>
      <c r="F6">
        <f>COUNTIF(測試資料集!B2:B101,"正常通知訊息")</f>
        <v>30</v>
      </c>
    </row>
    <row r="7" spans="1:8" ht="15">
      <c r="A7" s="7" t="s">
        <v>247</v>
      </c>
      <c r="B7" s="9">
        <f>COUNTIF(測試資料集!G2:G101,"&lt;&gt;")</f>
        <v>0</v>
      </c>
      <c r="C7" s="8" t="s">
        <v>248</v>
      </c>
      <c r="E7" s="12" t="s">
        <v>196</v>
      </c>
      <c r="F7">
        <f>COUNTIF(測試資料集!B2:B101,"正常網站文字")</f>
        <v>20</v>
      </c>
    </row>
    <row r="8" spans="1:8" ht="15">
      <c r="A8" s="7" t="s">
        <v>249</v>
      </c>
      <c r="B8" s="9" t="str">
        <f>IFERROR(COUNTIF(測試資料集!I2:I101,"是")/COUNTIF(測試資料集!G2:G101,"&lt;&gt;"),"尚未測試")</f>
        <v>尚未測試</v>
      </c>
      <c r="C8" s="8" t="s">
        <v>250</v>
      </c>
    </row>
    <row r="9" spans="1:8" ht="15">
      <c r="A9" s="7" t="s">
        <v>251</v>
      </c>
      <c r="B9" s="10">
        <f>IFERROR(COUNTIFS(測試資料集!D2:D101,"詐騙",測試資料集!I2:I101,"是")/COUNTIF(測試資料集!D2:D101,"詐騙"),"尚未測試")</f>
        <v>0</v>
      </c>
      <c r="C9" s="8" t="s">
        <v>252</v>
      </c>
    </row>
    <row r="10" spans="1:8" ht="15">
      <c r="A10" s="7" t="s">
        <v>253</v>
      </c>
      <c r="B10" s="10">
        <f>IFERROR(COUNTIFS(測試資料集!D2:D101,"正常",測試資料集!I2:I101,"否")/COUNTIF(測試資料集!D2:D101,"正常"),"尚未測試")</f>
        <v>0</v>
      </c>
      <c r="C10" s="8" t="s">
        <v>254</v>
      </c>
    </row>
    <row r="11" spans="1:8" ht="15">
      <c r="A11" s="7" t="s">
        <v>255</v>
      </c>
      <c r="B11" s="11" t="str">
        <f>IFERROR(AVERAGE(測試資料集!J2:J101),"尚未測試")</f>
        <v>尚未測試</v>
      </c>
      <c r="C11" s="8" t="s">
        <v>256</v>
      </c>
    </row>
    <row r="14" spans="1:8" ht="15">
      <c r="A14" s="13" t="s">
        <v>4</v>
      </c>
      <c r="B14" s="13" t="s">
        <v>240</v>
      </c>
      <c r="D14" s="20" t="s">
        <v>257</v>
      </c>
      <c r="E14" s="19"/>
      <c r="F14" s="19"/>
      <c r="G14" s="19"/>
      <c r="H14" s="19"/>
    </row>
    <row r="15" spans="1:8" ht="42.75">
      <c r="A15" s="14" t="s">
        <v>106</v>
      </c>
      <c r="B15" s="8">
        <f>COUNTIF(測試資料集!E2:E101,"假投資 / 保證獲利")</f>
        <v>5</v>
      </c>
      <c r="D15" s="15" t="s">
        <v>258</v>
      </c>
      <c r="E15" s="15"/>
      <c r="F15" s="15"/>
      <c r="G15" s="15"/>
      <c r="H15" s="15"/>
    </row>
    <row r="16" spans="1:8" ht="42.75">
      <c r="A16" s="14" t="s">
        <v>126</v>
      </c>
      <c r="B16" s="8">
        <f>COUNTIF(測試資料集!E2:E101,"假檢警 / 帳戶凍結")</f>
        <v>3</v>
      </c>
      <c r="D16" s="15" t="s">
        <v>259</v>
      </c>
      <c r="E16" s="15"/>
      <c r="F16" s="15"/>
      <c r="G16" s="15"/>
      <c r="H16" s="15"/>
    </row>
    <row r="17" spans="1:8" ht="57">
      <c r="A17" s="14" t="s">
        <v>75</v>
      </c>
      <c r="B17" s="8">
        <f>COUNTIF(測試資料集!E2:E101,"假物流 / 包裹補繳運費")</f>
        <v>6</v>
      </c>
      <c r="D17" s="15" t="s">
        <v>260</v>
      </c>
      <c r="E17" s="15"/>
      <c r="F17" s="15"/>
      <c r="G17" s="15"/>
      <c r="H17" s="15"/>
    </row>
    <row r="18" spans="1:8" ht="57">
      <c r="A18" s="14" t="s">
        <v>89</v>
      </c>
      <c r="B18" s="8">
        <f>COUNTIF(測試資料集!E2:E101,"假網購特效保健食品")</f>
        <v>8</v>
      </c>
      <c r="D18" s="15" t="s">
        <v>261</v>
      </c>
      <c r="E18" s="15"/>
      <c r="F18" s="15"/>
      <c r="G18" s="15"/>
      <c r="H18" s="15"/>
    </row>
    <row r="19" spans="1:8" ht="57">
      <c r="A19" s="14" t="s">
        <v>58</v>
      </c>
      <c r="B19" s="8">
        <f>COUNTIF(測試資料集!E2:E101,"假親友借醫療費")</f>
        <v>8</v>
      </c>
      <c r="D19" s="15" t="s">
        <v>262</v>
      </c>
      <c r="E19" s="15"/>
      <c r="F19" s="15"/>
      <c r="G19" s="15"/>
      <c r="H19" s="15"/>
    </row>
    <row r="20" spans="1:8" ht="15">
      <c r="A20" s="14" t="s">
        <v>41</v>
      </c>
      <c r="B20" s="8">
        <f>COUNTIF(測試資料集!E2:E101,"假醫院批價異常")</f>
        <v>8</v>
      </c>
    </row>
    <row r="21" spans="1:8" ht="15">
      <c r="A21" s="14" t="s">
        <v>117</v>
      </c>
      <c r="B21" s="8">
        <f>COUNTIF(測試資料集!E2:E101,"假銀行 / 釣魚登入")</f>
        <v>4</v>
      </c>
    </row>
    <row r="22" spans="1:8" ht="15">
      <c r="A22" s="14" t="s">
        <v>21</v>
      </c>
      <c r="B22" s="8">
        <f>COUNTIF(測試資料集!E2:E101,"假長照補助金")</f>
        <v>8</v>
      </c>
    </row>
  </sheetData>
  <mergeCells count="2">
    <mergeCell ref="A1:H1"/>
    <mergeCell ref="D14:H14"/>
  </mergeCells>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heetViews>
  <sheetFormatPr defaultRowHeight="14.25"/>
  <cols>
    <col min="1" max="1" width="22" customWidth="1"/>
    <col min="2" max="2" width="44" customWidth="1"/>
    <col min="3" max="3" width="52" customWidth="1"/>
  </cols>
  <sheetData>
    <row r="1" spans="1:3" ht="15">
      <c r="A1" s="16" t="s">
        <v>263</v>
      </c>
      <c r="B1" s="16" t="s">
        <v>264</v>
      </c>
      <c r="C1" s="16" t="s">
        <v>265</v>
      </c>
    </row>
    <row r="2" spans="1:3" ht="15">
      <c r="A2" s="17" t="s">
        <v>0</v>
      </c>
      <c r="B2" s="15" t="s">
        <v>266</v>
      </c>
      <c r="C2" s="15" t="s">
        <v>267</v>
      </c>
    </row>
    <row r="3" spans="1:3" ht="28.5">
      <c r="A3" s="17" t="s">
        <v>1</v>
      </c>
      <c r="B3" s="15" t="s">
        <v>268</v>
      </c>
      <c r="C3" s="15" t="s">
        <v>269</v>
      </c>
    </row>
    <row r="4" spans="1:3" ht="15">
      <c r="A4" s="17" t="s">
        <v>2</v>
      </c>
      <c r="B4" s="15" t="s">
        <v>270</v>
      </c>
      <c r="C4" s="15" t="s">
        <v>271</v>
      </c>
    </row>
    <row r="5" spans="1:3" ht="15">
      <c r="A5" s="17" t="s">
        <v>3</v>
      </c>
      <c r="B5" s="15" t="s">
        <v>272</v>
      </c>
      <c r="C5" s="15" t="s">
        <v>273</v>
      </c>
    </row>
    <row r="6" spans="1:3" ht="15">
      <c r="A6" s="17" t="s">
        <v>4</v>
      </c>
      <c r="B6" s="15" t="s">
        <v>274</v>
      </c>
      <c r="C6" s="15" t="s">
        <v>275</v>
      </c>
    </row>
    <row r="7" spans="1:3" ht="15">
      <c r="A7" s="17" t="s">
        <v>5</v>
      </c>
      <c r="B7" s="15" t="s">
        <v>276</v>
      </c>
      <c r="C7" s="15" t="s">
        <v>277</v>
      </c>
    </row>
    <row r="8" spans="1:3" ht="15">
      <c r="A8" s="17" t="s">
        <v>6</v>
      </c>
      <c r="B8" s="15" t="s">
        <v>278</v>
      </c>
      <c r="C8" s="15" t="s">
        <v>279</v>
      </c>
    </row>
    <row r="9" spans="1:3" ht="15">
      <c r="A9" s="17" t="s">
        <v>7</v>
      </c>
      <c r="B9" s="15" t="s">
        <v>280</v>
      </c>
      <c r="C9" s="15" t="s">
        <v>281</v>
      </c>
    </row>
    <row r="10" spans="1:3" ht="15">
      <c r="A10" s="17" t="s">
        <v>8</v>
      </c>
      <c r="B10" s="15" t="s">
        <v>282</v>
      </c>
      <c r="C10" s="15" t="s">
        <v>283</v>
      </c>
    </row>
    <row r="11" spans="1:3" ht="15">
      <c r="A11" s="17" t="s">
        <v>9</v>
      </c>
      <c r="B11" s="15" t="s">
        <v>284</v>
      </c>
      <c r="C11" s="15" t="s">
        <v>285</v>
      </c>
    </row>
    <row r="12" spans="1:3" ht="15">
      <c r="A12" s="17" t="s">
        <v>10</v>
      </c>
      <c r="B12" s="15" t="s">
        <v>286</v>
      </c>
      <c r="C12" s="15" t="s">
        <v>287</v>
      </c>
    </row>
    <row r="13" spans="1:3" ht="15">
      <c r="A13" s="17" t="s">
        <v>11</v>
      </c>
      <c r="B13" s="15" t="s">
        <v>286</v>
      </c>
      <c r="C13" s="15" t="s">
        <v>288</v>
      </c>
    </row>
    <row r="14" spans="1:3" ht="15">
      <c r="A14" s="17" t="s">
        <v>12</v>
      </c>
      <c r="B14" s="15" t="s">
        <v>282</v>
      </c>
      <c r="C14" s="15" t="s">
        <v>289</v>
      </c>
    </row>
    <row r="15" spans="1:3" ht="15">
      <c r="A15" s="17" t="s">
        <v>13</v>
      </c>
      <c r="B15" s="15" t="s">
        <v>290</v>
      </c>
      <c r="C15" s="15" t="s">
        <v>291</v>
      </c>
    </row>
    <row r="16" spans="1:3" ht="15">
      <c r="A16" s="17" t="s">
        <v>14</v>
      </c>
      <c r="B16" s="15" t="s">
        <v>292</v>
      </c>
      <c r="C16" s="15" t="s">
        <v>293</v>
      </c>
    </row>
    <row r="17" spans="1:3" ht="15">
      <c r="A17" s="17" t="s">
        <v>15</v>
      </c>
      <c r="B17" s="15" t="s">
        <v>294</v>
      </c>
      <c r="C17" s="15" t="s">
        <v>295</v>
      </c>
    </row>
    <row r="18" spans="1:3" ht="15">
      <c r="A18" s="17" t="s">
        <v>16</v>
      </c>
      <c r="B18" s="15" t="s">
        <v>296</v>
      </c>
      <c r="C18" s="15" t="s">
        <v>297</v>
      </c>
    </row>
  </sheetData>
  <phoneticPr fontId="6" type="noConversion"/>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測試資料集</vt:lpstr>
      <vt:lpstr>統計儀表板</vt:lpstr>
      <vt:lpstr>欄位說明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2026-05-10T04:25:33Z</dcterms:created>
  <dcterms:modified xsi:type="dcterms:W3CDTF">2026-05-10T04:25:33Z</dcterms:modified>
</cp:coreProperties>
</file>