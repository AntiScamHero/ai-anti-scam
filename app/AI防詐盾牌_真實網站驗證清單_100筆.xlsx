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b854e1343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真實網址測試清單" sheetId="1" r:id="Rd0cc1047287242aa"/>
    <x:sheet xmlns:r="http://schemas.openxmlformats.org/officeDocument/2006/relationships" name="統計摘要" sheetId="2" r:id="R8d5bd868d383475d"/>
    <x:sheet xmlns:r="http://schemas.openxmlformats.org/officeDocument/2006/relationships" name="使用說明" sheetId="3" r:id="Rc76ac4555fac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4C81"/>
      </x:patternFill>
    </x:fill>
  </x:fills>
  <x:borders count="14">
    <x:border/>
    <x:border/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6611190e940c8" /><Relationship Type="http://schemas.openxmlformats.org/officeDocument/2006/relationships/theme" Target="/xl/theme/theme1.xml" Id="Rb3159db6fc2b42b7" /><Relationship Type="http://schemas.openxmlformats.org/officeDocument/2006/relationships/sharedStrings" Target="/xl/sharedStrings.xml" Id="R45d372c46bd7434b" /><Relationship Type="http://schemas.openxmlformats.org/officeDocument/2006/relationships/worksheet" Target="/xl/worksheets/sheet1.xml" Id="Rd0cc1047287242aa" /><Relationship Type="http://schemas.openxmlformats.org/officeDocument/2006/relationships/worksheet" Target="/xl/worksheets/sheet2.xml" Id="R8d5bd868d383475d" /><Relationship Type="http://schemas.openxmlformats.org/officeDocument/2006/relationships/worksheet" Target="/xl/worksheets/sheet3.xml" Id="Rc76ac4555fac4951" /></Relationships>
</file>

<file path=xl/tables/table1.xml><?xml version="1.0" encoding="utf-8"?>
<x:table xmlns:x="http://schemas.openxmlformats.org/spreadsheetml/2006/main" id="1" name="RealUrlTestTable" displayName="RealUrlTestTable" ref="A1:M101" headerRowCount="1">
  <x:tableColumns count="13">
    <x:tableColumn id="1" name="ID"/>
    <x:tableColumn id="2" name="類型"/>
    <x:tableColumn id="3" name="預期結果"/>
    <x:tableColumn id="4" name="URL"/>
    <x:tableColumn id="5" name="是否可直接開啟"/>
    <x:tableColumn id="6" name="資料來源"/>
    <x:tableColumn id="7" name="測試用途"/>
    <x:tableColumn id="8" name="備註"/>
    <x:tableColumn id="9" name="系統判斷"/>
    <x:tableColumn id="10" name="系統分數"/>
    <x:tableColumn id="11" name="是否正確"/>
    <x:tableColumn id="12" name="測試時間"/>
    <x:tableColumn id="13" name="系統理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4b5feeeb954bf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55" hidden="0" customWidth="1"/>
    <x:col min="5" max="5" width="15" hidden="0" customWidth="1"/>
    <x:col min="6" max="6" width="24" hidden="0" customWidth="1"/>
    <x:col min="7" max="7" width="26" hidden="0" customWidth="1"/>
    <x:col min="8" max="8" width="25" hidden="0" customWidth="1"/>
    <x:col min="9" max="9" width="12" hidden="0" customWidth="1"/>
    <x:col min="10" max="10" width="10" hidden="0" customWidth="1"/>
    <x:col min="11" max="11" width="10" hidden="0" customWidth="1"/>
    <x:col min="12" max="12" width="18" hidden="0" customWidth="1"/>
    <x:col min="13" max="13" width="35" hidden="0" customWidth="1"/>
  </x:cols>
  <x:sheetData>
    <x:row r="1">
      <x:c r="A1" s="14" t="str">
        <x:v>ID</x:v>
      </x:c>
      <x:c r="B1" s="14" t="str">
        <x:v>類型</x:v>
      </x:c>
      <x:c r="C1" s="14" t="str">
        <x:v>預期結果</x:v>
      </x:c>
      <x:c r="D1" s="14" t="str">
        <x:v>URL</x:v>
      </x:c>
      <x:c r="E1" s="14" t="str">
        <x:v>是否可直接開啟</x:v>
      </x:c>
      <x:c r="F1" s="14" t="str">
        <x:v>資料來源</x:v>
      </x:c>
      <x:c r="G1" s="14" t="str">
        <x:v>測試用途</x:v>
      </x:c>
      <x:c r="H1" s="14" t="str">
        <x:v>備註</x:v>
      </x:c>
      <x:c r="I1" s="14" t="str">
        <x:v>系統判斷</x:v>
      </x:c>
      <x:c r="J1" s="14" t="str">
        <x:v>系統分數</x:v>
      </x:c>
      <x:c r="K1" s="14" t="str">
        <x:v>是否正確</x:v>
      </x:c>
      <x:c r="L1" s="14" t="str">
        <x:v>測試時間</x:v>
      </x:c>
      <x:c r="M1" s="14" t="str">
        <x:v>系統理由</x:v>
      </x:c>
    </x:row>
    <x:row r="2">
      <x:c r="A2" s="15" t="str">
        <x:v>N001</x:v>
      </x:c>
      <x:c r="B2" s="15" t="str">
        <x:v>正常</x:v>
      </x:c>
      <x:c r="C2" s="15" t="str">
        <x:v>safe</x:v>
      </x:c>
      <x:c r="D2" s="15" t="str">
        <x:v>https://www.google.com/</x:v>
      </x:c>
      <x:c r="E2" s="15" t="str">
        <x:v>可直接開啟</x:v>
      </x:c>
      <x:c r="F2" s="15" t="str">
        <x:v>官方/常用網站</x:v>
      </x:c>
      <x:c r="G2" s="15" t="str">
        <x:v>測正常搜尋入口是否誤判</x:v>
      </x:c>
      <x:c r="H2" s="15" t="str">
        <x:v>Google 首頁</x:v>
      </x:c>
      <x:c r="I2" s="15" t="str"/>
      <x:c r="J2" s="15" t="str"/>
      <x:c r="K2" s="15" t="str">
        <x:f>IF(I2="","",IF(I2=C2,"正確","錯誤"))</x:f>
      </x:c>
      <x:c r="L2" s="15" t="str"/>
      <x:c r="M2" s="15" t="str"/>
    </x:row>
    <x:row r="3">
      <x:c r="A3" s="15" t="str">
        <x:v>N002</x:v>
      </x:c>
      <x:c r="B3" s="15" t="str">
        <x:v>正常</x:v>
      </x:c>
      <x:c r="C3" s="15" t="str">
        <x:v>safe</x:v>
      </x:c>
      <x:c r="D3" s="15" t="str">
        <x:v>https://www.youtube.com/</x:v>
      </x:c>
      <x:c r="E3" s="15" t="str">
        <x:v>可直接開啟</x:v>
      </x:c>
      <x:c r="F3" s="15" t="str">
        <x:v>官方/常用網站</x:v>
      </x:c>
      <x:c r="G3" s="15" t="str">
        <x:v>測影音平台是否誤判</x:v>
      </x:c>
      <x:c r="H3" s="15" t="str">
        <x:v>YouTube</x:v>
      </x:c>
      <x:c r="I3" s="15" t="str"/>
      <x:c r="J3" s="15" t="str"/>
      <x:c r="K3" s="15" t="str">
        <x:f>IF(I3="","",IF(I3=C3,"正確","錯誤"))</x:f>
      </x:c>
      <x:c r="L3" s="15" t="str"/>
      <x:c r="M3" s="15" t="str"/>
    </x:row>
    <x:row r="4">
      <x:c r="A4" s="15" t="str">
        <x:v>N003</x:v>
      </x:c>
      <x:c r="B4" s="15" t="str">
        <x:v>正常</x:v>
      </x:c>
      <x:c r="C4" s="15" t="str">
        <x:v>safe</x:v>
      </x:c>
      <x:c r="D4" s="15" t="str">
        <x:v>https://www.wikipedia.org/</x:v>
      </x:c>
      <x:c r="E4" s="15" t="str">
        <x:v>可直接開啟</x:v>
      </x:c>
      <x:c r="F4" s="15" t="str">
        <x:v>官方/常用網站</x:v>
      </x:c>
      <x:c r="G4" s="15" t="str">
        <x:v>測知識型網站是否誤判</x:v>
      </x:c>
      <x:c r="H4" s="15" t="str">
        <x:v>Wikipedia</x:v>
      </x:c>
      <x:c r="I4" s="15" t="str"/>
      <x:c r="J4" s="15" t="str"/>
      <x:c r="K4" s="15" t="str">
        <x:f>IF(I4="","",IF(I4=C4,"正確","錯誤"))</x:f>
      </x:c>
      <x:c r="L4" s="15" t="str"/>
      <x:c r="M4" s="15" t="str"/>
    </x:row>
    <x:row r="5">
      <x:c r="A5" s="15" t="str">
        <x:v>N004</x:v>
      </x:c>
      <x:c r="B5" s="15" t="str">
        <x:v>正常</x:v>
      </x:c>
      <x:c r="C5" s="15" t="str">
        <x:v>safe</x:v>
      </x:c>
      <x:c r="D5" s="15" t="str">
        <x:v>https://www.gov.tw/</x:v>
      </x:c>
      <x:c r="E5" s="15" t="str">
        <x:v>可直接開啟</x:v>
      </x:c>
      <x:c r="F5" s="15" t="str">
        <x:v>政府網站</x:v>
      </x:c>
      <x:c r="G5" s="15" t="str">
        <x:v>測政府入口是否誤判</x:v>
      </x:c>
      <x:c r="H5" s="15" t="str">
        <x:v>我的E政府</x:v>
      </x:c>
      <x:c r="I5" s="15" t="str"/>
      <x:c r="J5" s="15" t="str"/>
      <x:c r="K5" s="15" t="str">
        <x:f>IF(I5="","",IF(I5=C5,"正確","錯誤"))</x:f>
      </x:c>
      <x:c r="L5" s="15" t="str"/>
      <x:c r="M5" s="15" t="str"/>
    </x:row>
    <x:row r="6">
      <x:c r="A6" s="15" t="str">
        <x:v>N005</x:v>
      </x:c>
      <x:c r="B6" s="15" t="str">
        <x:v>正常</x:v>
      </x:c>
      <x:c r="C6" s="15" t="str">
        <x:v>safe</x:v>
      </x:c>
      <x:c r="D6" s="15" t="str">
        <x:v>https://www.taiwan.gov.tw/</x:v>
      </x:c>
      <x:c r="E6" s="15" t="str">
        <x:v>可直接開啟</x:v>
      </x:c>
      <x:c r="F6" s="15" t="str">
        <x:v>政府網站</x:v>
      </x:c>
      <x:c r="G6" s="15" t="str">
        <x:v>測政府入口是否誤判</x:v>
      </x:c>
      <x:c r="H6" s="15" t="str">
        <x:v>中華民國政府入口</x:v>
      </x:c>
      <x:c r="I6" s="15" t="str"/>
      <x:c r="J6" s="15" t="str"/>
      <x:c r="K6" s="15" t="str">
        <x:f>IF(I6="","",IF(I6=C6,"正確","錯誤"))</x:f>
      </x:c>
      <x:c r="L6" s="15" t="str"/>
      <x:c r="M6" s="15" t="str"/>
    </x:row>
    <x:row r="7">
      <x:c r="A7" s="15" t="str">
        <x:v>N006</x:v>
      </x:c>
      <x:c r="B7" s="15" t="str">
        <x:v>正常</x:v>
      </x:c>
      <x:c r="C7" s="15" t="str">
        <x:v>safe</x:v>
      </x:c>
      <x:c r="D7" s="15" t="str">
        <x:v>https://www.moi.gov.tw/</x:v>
      </x:c>
      <x:c r="E7" s="15" t="str">
        <x:v>可直接開啟</x:v>
      </x:c>
      <x:c r="F7" s="15" t="str">
        <x:v>政府網站</x:v>
      </x:c>
      <x:c r="G7" s="15" t="str">
        <x:v>測政府機關是否誤判</x:v>
      </x:c>
      <x:c r="H7" s="15" t="str">
        <x:v>內政部</x:v>
      </x:c>
      <x:c r="I7" s="15" t="str"/>
      <x:c r="J7" s="15" t="str"/>
      <x:c r="K7" s="15" t="str">
        <x:f>IF(I7="","",IF(I7=C7,"正確","錯誤"))</x:f>
      </x:c>
      <x:c r="L7" s="15" t="str"/>
      <x:c r="M7" s="15" t="str"/>
    </x:row>
    <x:row r="8">
      <x:c r="A8" s="15" t="str">
        <x:v>N007</x:v>
      </x:c>
      <x:c r="B8" s="15" t="str">
        <x:v>正常</x:v>
      </x:c>
      <x:c r="C8" s="15" t="str">
        <x:v>safe</x:v>
      </x:c>
      <x:c r="D8" s="15" t="str">
        <x:v>https://www.npa.gov.tw/</x:v>
      </x:c>
      <x:c r="E8" s="15" t="str">
        <x:v>可直接開啟</x:v>
      </x:c>
      <x:c r="F8" s="15" t="str">
        <x:v>政府網站</x:v>
      </x:c>
      <x:c r="G8" s="15" t="str">
        <x:v>測警政網站是否誤判</x:v>
      </x:c>
      <x:c r="H8" s="15" t="str">
        <x:v>警政署</x:v>
      </x:c>
      <x:c r="I8" s="15" t="str"/>
      <x:c r="J8" s="15" t="str"/>
      <x:c r="K8" s="15" t="str">
        <x:f>IF(I8="","",IF(I8=C8,"正確","錯誤"))</x:f>
      </x:c>
      <x:c r="L8" s="15" t="str"/>
      <x:c r="M8" s="15" t="str"/>
    </x:row>
    <x:row r="9">
      <x:c r="A9" s="15" t="str">
        <x:v>N008</x:v>
      </x:c>
      <x:c r="B9" s="15" t="str">
        <x:v>正常</x:v>
      </x:c>
      <x:c r="C9" s="15" t="str">
        <x:v>safe</x:v>
      </x:c>
      <x:c r="D9" s="15" t="str">
        <x:v>https://165.npa.gov.tw/</x:v>
      </x:c>
      <x:c r="E9" s="15" t="str">
        <x:v>可直接開啟</x:v>
      </x:c>
      <x:c r="F9" s="15" t="str">
        <x:v>政府網站</x:v>
      </x:c>
      <x:c r="G9" s="15" t="str">
        <x:v>測 165 首頁是否誤判</x:v>
      </x:c>
      <x:c r="H9" s="15" t="str">
        <x:v>165 全民防騙網首頁</x:v>
      </x:c>
      <x:c r="I9" s="15" t="str"/>
      <x:c r="J9" s="15" t="str"/>
      <x:c r="K9" s="15" t="str">
        <x:f>IF(I9="","",IF(I9=C9,"正確","錯誤"))</x:f>
      </x:c>
      <x:c r="L9" s="15" t="str"/>
      <x:c r="M9" s="15" t="str"/>
    </x:row>
    <x:row r="10">
      <x:c r="A10" s="15" t="str">
        <x:v>N009</x:v>
      </x:c>
      <x:c r="B10" s="15" t="str">
        <x:v>正常</x:v>
      </x:c>
      <x:c r="C10" s="15" t="str">
        <x:v>safe</x:v>
      </x:c>
      <x:c r="D10" s="15" t="str">
        <x:v>https://www.edu.tw/</x:v>
      </x:c>
      <x:c r="E10" s="15" t="str">
        <x:v>可直接開啟</x:v>
      </x:c>
      <x:c r="F10" s="15" t="str">
        <x:v>政府網站</x:v>
      </x:c>
      <x:c r="G10" s="15" t="str">
        <x:v>測教育部是否誤判</x:v>
      </x:c>
      <x:c r="H10" s="15" t="str">
        <x:v>教育部</x:v>
      </x:c>
      <x:c r="I10" s="15" t="str"/>
      <x:c r="J10" s="15" t="str"/>
      <x:c r="K10" s="15" t="str">
        <x:f>IF(I10="","",IF(I10=C10,"正確","錯誤"))</x:f>
      </x:c>
      <x:c r="L10" s="15" t="str"/>
      <x:c r="M10" s="15" t="str"/>
    </x:row>
    <x:row r="11">
      <x:c r="A11" s="15" t="str">
        <x:v>N010</x:v>
      </x:c>
      <x:c r="B11" s="15" t="str">
        <x:v>正常</x:v>
      </x:c>
      <x:c r="C11" s="15" t="str">
        <x:v>safe</x:v>
      </x:c>
      <x:c r="D11" s="15" t="str">
        <x:v>https://www.moea.gov.tw/</x:v>
      </x:c>
      <x:c r="E11" s="15" t="str">
        <x:v>可直接開啟</x:v>
      </x:c>
      <x:c r="F11" s="15" t="str">
        <x:v>政府網站</x:v>
      </x:c>
      <x:c r="G11" s="15" t="str">
        <x:v>測經濟部是否誤判</x:v>
      </x:c>
      <x:c r="H11" s="15" t="str">
        <x:v>經濟部</x:v>
      </x:c>
      <x:c r="I11" s="15" t="str"/>
      <x:c r="J11" s="15" t="str"/>
      <x:c r="K11" s="15" t="str">
        <x:f>IF(I11="","",IF(I11=C11,"正確","錯誤"))</x:f>
      </x:c>
      <x:c r="L11" s="15" t="str"/>
      <x:c r="M11" s="15" t="str"/>
    </x:row>
    <x:row r="12">
      <x:c r="A12" s="15" t="str">
        <x:v>N011</x:v>
      </x:c>
      <x:c r="B12" s="15" t="str">
        <x:v>正常</x:v>
      </x:c>
      <x:c r="C12" s="15" t="str">
        <x:v>safe</x:v>
      </x:c>
      <x:c r="D12" s="15" t="str">
        <x:v>https://www.moda.gov.tw/</x:v>
      </x:c>
      <x:c r="E12" s="15" t="str">
        <x:v>可直接開啟</x:v>
      </x:c>
      <x:c r="F12" s="15" t="str">
        <x:v>政府網站</x:v>
      </x:c>
      <x:c r="G12" s="15" t="str">
        <x:v>測數位部是否誤判</x:v>
      </x:c>
      <x:c r="H12" s="15" t="str">
        <x:v>數位發展部</x:v>
      </x:c>
      <x:c r="I12" s="15" t="str"/>
      <x:c r="J12" s="15" t="str"/>
      <x:c r="K12" s="15" t="str">
        <x:f>IF(I12="","",IF(I12=C12,"正確","錯誤"))</x:f>
      </x:c>
      <x:c r="L12" s="15" t="str"/>
      <x:c r="M12" s="15" t="str"/>
    </x:row>
    <x:row r="13">
      <x:c r="A13" s="15" t="str">
        <x:v>N012</x:v>
      </x:c>
      <x:c r="B13" s="15" t="str">
        <x:v>正常</x:v>
      </x:c>
      <x:c r="C13" s="15" t="str">
        <x:v>safe</x:v>
      </x:c>
      <x:c r="D13" s="15" t="str">
        <x:v>https://www.cdc.gov.tw/</x:v>
      </x:c>
      <x:c r="E13" s="15" t="str">
        <x:v>可直接開啟</x:v>
      </x:c>
      <x:c r="F13" s="15" t="str">
        <x:v>政府網站</x:v>
      </x:c>
      <x:c r="G13" s="15" t="str">
        <x:v>測疾管署是否誤判</x:v>
      </x:c>
      <x:c r="H13" s="15" t="str">
        <x:v>疾病管制署</x:v>
      </x:c>
      <x:c r="I13" s="15" t="str"/>
      <x:c r="J13" s="15" t="str"/>
      <x:c r="K13" s="15" t="str">
        <x:f>IF(I13="","",IF(I13=C13,"正確","錯誤"))</x:f>
      </x:c>
      <x:c r="L13" s="15" t="str"/>
      <x:c r="M13" s="15" t="str"/>
    </x:row>
    <x:row r="14">
      <x:c r="A14" s="15" t="str">
        <x:v>N013</x:v>
      </x:c>
      <x:c r="B14" s="15" t="str">
        <x:v>正常</x:v>
      </x:c>
      <x:c r="C14" s="15" t="str">
        <x:v>safe</x:v>
      </x:c>
      <x:c r="D14" s="15" t="str">
        <x:v>https://www.nhi.gov.tw/</x:v>
      </x:c>
      <x:c r="E14" s="15" t="str">
        <x:v>可直接開啟</x:v>
      </x:c>
      <x:c r="F14" s="15" t="str">
        <x:v>政府網站</x:v>
      </x:c>
      <x:c r="G14" s="15" t="str">
        <x:v>測健保署是否誤判</x:v>
      </x:c>
      <x:c r="H14" s="15" t="str">
        <x:v>健保署</x:v>
      </x:c>
      <x:c r="I14" s="15" t="str"/>
      <x:c r="J14" s="15" t="str"/>
      <x:c r="K14" s="15" t="str">
        <x:f>IF(I14="","",IF(I14=C14,"正確","錯誤"))</x:f>
      </x:c>
      <x:c r="L14" s="15" t="str"/>
      <x:c r="M14" s="15" t="str"/>
    </x:row>
    <x:row r="15">
      <x:c r="A15" s="15" t="str">
        <x:v>N014</x:v>
      </x:c>
      <x:c r="B15" s="15" t="str">
        <x:v>正常</x:v>
      </x:c>
      <x:c r="C15" s="15" t="str">
        <x:v>safe</x:v>
      </x:c>
      <x:c r="D15" s="15" t="str">
        <x:v>https://www.cwa.gov.tw/</x:v>
      </x:c>
      <x:c r="E15" s="15" t="str">
        <x:v>可直接開啟</x:v>
      </x:c>
      <x:c r="F15" s="15" t="str">
        <x:v>政府網站</x:v>
      </x:c>
      <x:c r="G15" s="15" t="str">
        <x:v>測氣象網站是否誤判</x:v>
      </x:c>
      <x:c r="H15" s="15" t="str">
        <x:v>中央氣象署</x:v>
      </x:c>
      <x:c r="I15" s="15" t="str"/>
      <x:c r="J15" s="15" t="str"/>
      <x:c r="K15" s="15" t="str">
        <x:f>IF(I15="","",IF(I15=C15,"正確","錯誤"))</x:f>
      </x:c>
      <x:c r="L15" s="15" t="str"/>
      <x:c r="M15" s="15" t="str"/>
    </x:row>
    <x:row r="16">
      <x:c r="A16" s="15" t="str">
        <x:v>N015</x:v>
      </x:c>
      <x:c r="B16" s="15" t="str">
        <x:v>正常</x:v>
      </x:c>
      <x:c r="C16" s="15" t="str">
        <x:v>safe</x:v>
      </x:c>
      <x:c r="D16" s="15" t="str">
        <x:v>https://www.etax.nat.gov.tw/</x:v>
      </x:c>
      <x:c r="E16" s="15" t="str">
        <x:v>可直接開啟</x:v>
      </x:c>
      <x:c r="F16" s="15" t="str">
        <x:v>政府網站</x:v>
      </x:c>
      <x:c r="G16" s="15" t="str">
        <x:v>測稅務網站是否誤判</x:v>
      </x:c>
      <x:c r="H16" s="15" t="str">
        <x:v>財政部電子申報繳稅服務</x:v>
      </x:c>
      <x:c r="I16" s="15" t="str"/>
      <x:c r="J16" s="15" t="str"/>
      <x:c r="K16" s="15" t="str">
        <x:f>IF(I16="","",IF(I16=C16,"正確","錯誤"))</x:f>
      </x:c>
      <x:c r="L16" s="15" t="str"/>
      <x:c r="M16" s="15" t="str"/>
    </x:row>
    <x:row r="17">
      <x:c r="A17" s="15" t="str">
        <x:v>N016</x:v>
      </x:c>
      <x:c r="B17" s="15" t="str">
        <x:v>正常</x:v>
      </x:c>
      <x:c r="C17" s="15" t="str">
        <x:v>safe</x:v>
      </x:c>
      <x:c r="D17" s="15" t="str">
        <x:v>https://www.post.gov.tw/</x:v>
      </x:c>
      <x:c r="E17" s="15" t="str">
        <x:v>可直接開啟</x:v>
      </x:c>
      <x:c r="F17" s="15" t="str">
        <x:v>政府/物流</x:v>
      </x:c>
      <x:c r="G17" s="15" t="str">
        <x:v>測郵局是否誤判</x:v>
      </x:c>
      <x:c r="H17" s="15" t="str">
        <x:v>中華郵政</x:v>
      </x:c>
      <x:c r="I17" s="15" t="str"/>
      <x:c r="J17" s="15" t="str"/>
      <x:c r="K17" s="15" t="str">
        <x:f>IF(I17="","",IF(I17=C17,"正確","錯誤"))</x:f>
      </x:c>
      <x:c r="L17" s="15" t="str"/>
      <x:c r="M17" s="15" t="str"/>
    </x:row>
    <x:row r="18">
      <x:c r="A18" s="15" t="str">
        <x:v>N017</x:v>
      </x:c>
      <x:c r="B18" s="15" t="str">
        <x:v>正常</x:v>
      </x:c>
      <x:c r="C18" s="15" t="str">
        <x:v>safe</x:v>
      </x:c>
      <x:c r="D18" s="15" t="str">
        <x:v>https://www.t-cat.com.tw/</x:v>
      </x:c>
      <x:c r="E18" s="15" t="str">
        <x:v>可直接開啟</x:v>
      </x:c>
      <x:c r="F18" s="15" t="str">
        <x:v>物流網站</x:v>
      </x:c>
      <x:c r="G18" s="15" t="str">
        <x:v>測物流官網是否誤判</x:v>
      </x:c>
      <x:c r="H18" s="15" t="str">
        <x:v>黑貓宅急便</x:v>
      </x:c>
      <x:c r="I18" s="15" t="str"/>
      <x:c r="J18" s="15" t="str"/>
      <x:c r="K18" s="15" t="str">
        <x:f>IF(I18="","",IF(I18=C18,"正確","錯誤"))</x:f>
      </x:c>
      <x:c r="L18" s="15" t="str"/>
      <x:c r="M18" s="15" t="str"/>
    </x:row>
    <x:row r="19">
      <x:c r="A19" s="15" t="str">
        <x:v>N018</x:v>
      </x:c>
      <x:c r="B19" s="15" t="str">
        <x:v>正常</x:v>
      </x:c>
      <x:c r="C19" s="15" t="str">
        <x:v>safe</x:v>
      </x:c>
      <x:c r="D19" s="15" t="str">
        <x:v>https://www.hct.com.tw/</x:v>
      </x:c>
      <x:c r="E19" s="15" t="str">
        <x:v>可直接開啟</x:v>
      </x:c>
      <x:c r="F19" s="15" t="str">
        <x:v>物流網站</x:v>
      </x:c>
      <x:c r="G19" s="15" t="str">
        <x:v>測物流官網是否誤判</x:v>
      </x:c>
      <x:c r="H19" s="15" t="str">
        <x:v>新竹物流</x:v>
      </x:c>
      <x:c r="I19" s="15" t="str"/>
      <x:c r="J19" s="15" t="str"/>
      <x:c r="K19" s="15" t="str">
        <x:f>IF(I19="","",IF(I19=C19,"正確","錯誤"))</x:f>
      </x:c>
      <x:c r="L19" s="15" t="str"/>
      <x:c r="M19" s="15" t="str"/>
    </x:row>
    <x:row r="20">
      <x:c r="A20" s="15" t="str">
        <x:v>N019</x:v>
      </x:c>
      <x:c r="B20" s="15" t="str">
        <x:v>正常</x:v>
      </x:c>
      <x:c r="C20" s="15" t="str">
        <x:v>safe</x:v>
      </x:c>
      <x:c r="D20" s="15" t="str">
        <x:v>https://www.7-11.com.tw/</x:v>
      </x:c>
      <x:c r="E20" s="15" t="str">
        <x:v>可直接開啟</x:v>
      </x:c>
      <x:c r="F20" s="15" t="str">
        <x:v>企業官網</x:v>
      </x:c>
      <x:c r="G20" s="15" t="str">
        <x:v>測超商官網是否誤判</x:v>
      </x:c>
      <x:c r="H20" s="15" t="str">
        <x:v>7-ELEVEN</x:v>
      </x:c>
      <x:c r="I20" s="15" t="str"/>
      <x:c r="J20" s="15" t="str"/>
      <x:c r="K20" s="15" t="str">
        <x:f>IF(I20="","",IF(I20=C20,"正確","錯誤"))</x:f>
      </x:c>
      <x:c r="L20" s="15" t="str"/>
      <x:c r="M20" s="15" t="str"/>
    </x:row>
    <x:row r="21">
      <x:c r="A21" s="15" t="str">
        <x:v>N020</x:v>
      </x:c>
      <x:c r="B21" s="15" t="str">
        <x:v>正常</x:v>
      </x:c>
      <x:c r="C21" s="15" t="str">
        <x:v>safe</x:v>
      </x:c>
      <x:c r="D21" s="15" t="str">
        <x:v>https://www.family.com.tw/</x:v>
      </x:c>
      <x:c r="E21" s="15" t="str">
        <x:v>可直接開啟</x:v>
      </x:c>
      <x:c r="F21" s="15" t="str">
        <x:v>企業官網</x:v>
      </x:c>
      <x:c r="G21" s="15" t="str">
        <x:v>測超商官網是否誤判</x:v>
      </x:c>
      <x:c r="H21" s="15" t="str">
        <x:v>全家便利商店</x:v>
      </x:c>
      <x:c r="I21" s="15" t="str"/>
      <x:c r="J21" s="15" t="str"/>
      <x:c r="K21" s="15" t="str">
        <x:f>IF(I21="","",IF(I21=C21,"正確","錯誤"))</x:f>
      </x:c>
      <x:c r="L21" s="15" t="str"/>
      <x:c r="M21" s="15" t="str"/>
    </x:row>
    <x:row r="22">
      <x:c r="A22" s="15" t="str">
        <x:v>N021</x:v>
      </x:c>
      <x:c r="B22" s="15" t="str">
        <x:v>正常</x:v>
      </x:c>
      <x:c r="C22" s="15" t="str">
        <x:v>safe</x:v>
      </x:c>
      <x:c r="D22" s="15" t="str">
        <x:v>https://www.momoshop.com.tw/</x:v>
      </x:c>
      <x:c r="E22" s="15" t="str">
        <x:v>可直接開啟</x:v>
      </x:c>
      <x:c r="F22" s="15" t="str">
        <x:v>電商網站</x:v>
      </x:c>
      <x:c r="G22" s="15" t="str">
        <x:v>測電商官網是否誤判</x:v>
      </x:c>
      <x:c r="H22" s="15" t="str">
        <x:v>momo 購物網</x:v>
      </x:c>
      <x:c r="I22" s="15" t="str"/>
      <x:c r="J22" s="15" t="str"/>
      <x:c r="K22" s="15" t="str">
        <x:f>IF(I22="","",IF(I22=C22,"正確","錯誤"))</x:f>
      </x:c>
      <x:c r="L22" s="15" t="str"/>
      <x:c r="M22" s="15" t="str"/>
    </x:row>
    <x:row r="23">
      <x:c r="A23" s="15" t="str">
        <x:v>N022</x:v>
      </x:c>
      <x:c r="B23" s="15" t="str">
        <x:v>正常</x:v>
      </x:c>
      <x:c r="C23" s="15" t="str">
        <x:v>safe</x:v>
      </x:c>
      <x:c r="D23" s="15" t="str">
        <x:v>https://24h.pchome.com.tw/</x:v>
      </x:c>
      <x:c r="E23" s="15" t="str">
        <x:v>可直接開啟</x:v>
      </x:c>
      <x:c r="F23" s="15" t="str">
        <x:v>電商網站</x:v>
      </x:c>
      <x:c r="G23" s="15" t="str">
        <x:v>測電商官網是否誤判</x:v>
      </x:c>
      <x:c r="H23" s="15" t="str">
        <x:v>PChome 24h</x:v>
      </x:c>
      <x:c r="I23" s="15" t="str"/>
      <x:c r="J23" s="15" t="str"/>
      <x:c r="K23" s="15" t="str">
        <x:f>IF(I23="","",IF(I23=C23,"正確","錯誤"))</x:f>
      </x:c>
      <x:c r="L23" s="15" t="str"/>
      <x:c r="M23" s="15" t="str"/>
    </x:row>
    <x:row r="24">
      <x:c r="A24" s="15" t="str">
        <x:v>N023</x:v>
      </x:c>
      <x:c r="B24" s="15" t="str">
        <x:v>正常</x:v>
      </x:c>
      <x:c r="C24" s="15" t="str">
        <x:v>safe</x:v>
      </x:c>
      <x:c r="D24" s="15" t="str">
        <x:v>https://shopee.tw/</x:v>
      </x:c>
      <x:c r="E24" s="15" t="str">
        <x:v>可直接開啟</x:v>
      </x:c>
      <x:c r="F24" s="15" t="str">
        <x:v>電商網站</x:v>
      </x:c>
      <x:c r="G24" s="15" t="str">
        <x:v>測電商官網是否誤判</x:v>
      </x:c>
      <x:c r="H24" s="15" t="str">
        <x:v>蝦皮台灣</x:v>
      </x:c>
      <x:c r="I24" s="15" t="str"/>
      <x:c r="J24" s="15" t="str"/>
      <x:c r="K24" s="15" t="str">
        <x:f>IF(I24="","",IF(I24=C24,"正確","錯誤"))</x:f>
      </x:c>
      <x:c r="L24" s="15" t="str"/>
      <x:c r="M24" s="15" t="str"/>
    </x:row>
    <x:row r="25">
      <x:c r="A25" s="15" t="str">
        <x:v>N024</x:v>
      </x:c>
      <x:c r="B25" s="15" t="str">
        <x:v>正常</x:v>
      </x:c>
      <x:c r="C25" s="15" t="str">
        <x:v>safe</x:v>
      </x:c>
      <x:c r="D25" s="15" t="str">
        <x:v>https://www.books.com.tw/</x:v>
      </x:c>
      <x:c r="E25" s="15" t="str">
        <x:v>可直接開啟</x:v>
      </x:c>
      <x:c r="F25" s="15" t="str">
        <x:v>電商網站</x:v>
      </x:c>
      <x:c r="G25" s="15" t="str">
        <x:v>測電商官網是否誤判</x:v>
      </x:c>
      <x:c r="H25" s="15" t="str">
        <x:v>博客來</x:v>
      </x:c>
      <x:c r="I25" s="15" t="str"/>
      <x:c r="J25" s="15" t="str"/>
      <x:c r="K25" s="15" t="str">
        <x:f>IF(I25="","",IF(I25=C25,"正確","錯誤"))</x:f>
      </x:c>
      <x:c r="L25" s="15" t="str"/>
      <x:c r="M25" s="15" t="str"/>
    </x:row>
    <x:row r="26">
      <x:c r="A26" s="15" t="str">
        <x:v>N025</x:v>
      </x:c>
      <x:c r="B26" s="15" t="str">
        <x:v>正常</x:v>
      </x:c>
      <x:c r="C26" s="15" t="str">
        <x:v>safe</x:v>
      </x:c>
      <x:c r="D26" s="15" t="str">
        <x:v>https://www.ruten.com.tw/</x:v>
      </x:c>
      <x:c r="E26" s="15" t="str">
        <x:v>可直接開啟</x:v>
      </x:c>
      <x:c r="F26" s="15" t="str">
        <x:v>電商網站</x:v>
      </x:c>
      <x:c r="G26" s="15" t="str">
        <x:v>測電商官網是否誤判</x:v>
      </x:c>
      <x:c r="H26" s="15" t="str">
        <x:v>露天拍賣</x:v>
      </x:c>
      <x:c r="I26" s="15" t="str"/>
      <x:c r="J26" s="15" t="str"/>
      <x:c r="K26" s="15" t="str">
        <x:f>IF(I26="","",IF(I26=C26,"正確","錯誤"))</x:f>
      </x:c>
      <x:c r="L26" s="15" t="str"/>
      <x:c r="M26" s="15" t="str"/>
    </x:row>
    <x:row r="27">
      <x:c r="A27" s="15" t="str">
        <x:v>N026</x:v>
      </x:c>
      <x:c r="B27" s="15" t="str">
        <x:v>正常</x:v>
      </x:c>
      <x:c r="C27" s="15" t="str">
        <x:v>safe</x:v>
      </x:c>
      <x:c r="D27" s="15" t="str">
        <x:v>https://www.bot.com.tw/</x:v>
      </x:c>
      <x:c r="E27" s="15" t="str">
        <x:v>可直接開啟</x:v>
      </x:c>
      <x:c r="F27" s="15" t="str">
        <x:v>銀行官網</x:v>
      </x:c>
      <x:c r="G27" s="15" t="str">
        <x:v>測銀行官網是否誤判</x:v>
      </x:c>
      <x:c r="H27" s="15" t="str">
        <x:v>臺灣銀行</x:v>
      </x:c>
      <x:c r="I27" s="15" t="str"/>
      <x:c r="J27" s="15" t="str"/>
      <x:c r="K27" s="15" t="str">
        <x:f>IF(I27="","",IF(I27=C27,"正確","錯誤"))</x:f>
      </x:c>
      <x:c r="L27" s="15" t="str"/>
      <x:c r="M27" s="15" t="str"/>
    </x:row>
    <x:row r="28">
      <x:c r="A28" s="15" t="str">
        <x:v>N027</x:v>
      </x:c>
      <x:c r="B28" s="15" t="str">
        <x:v>正常</x:v>
      </x:c>
      <x:c r="C28" s="15" t="str">
        <x:v>safe</x:v>
      </x:c>
      <x:c r="D28" s="15" t="str">
        <x:v>https://www.ctbcbank.com/</x:v>
      </x:c>
      <x:c r="E28" s="15" t="str">
        <x:v>可直接開啟</x:v>
      </x:c>
      <x:c r="F28" s="15" t="str">
        <x:v>銀行官網</x:v>
      </x:c>
      <x:c r="G28" s="15" t="str">
        <x:v>測銀行官網是否誤判</x:v>
      </x:c>
      <x:c r="H28" s="15" t="str">
        <x:v>中國信託銀行</x:v>
      </x:c>
      <x:c r="I28" s="15" t="str"/>
      <x:c r="J28" s="15" t="str"/>
      <x:c r="K28" s="15" t="str">
        <x:f>IF(I28="","",IF(I28=C28,"正確","錯誤"))</x:f>
      </x:c>
      <x:c r="L28" s="15" t="str"/>
      <x:c r="M28" s="15" t="str"/>
    </x:row>
    <x:row r="29">
      <x:c r="A29" s="15" t="str">
        <x:v>N028</x:v>
      </x:c>
      <x:c r="B29" s="15" t="str">
        <x:v>正常</x:v>
      </x:c>
      <x:c r="C29" s="15" t="str">
        <x:v>safe</x:v>
      </x:c>
      <x:c r="D29" s="15" t="str">
        <x:v>https://www.esunbank.com/</x:v>
      </x:c>
      <x:c r="E29" s="15" t="str">
        <x:v>可直接開啟</x:v>
      </x:c>
      <x:c r="F29" s="15" t="str">
        <x:v>銀行官網</x:v>
      </x:c>
      <x:c r="G29" s="15" t="str">
        <x:v>測銀行官網是否誤判</x:v>
      </x:c>
      <x:c r="H29" s="15" t="str">
        <x:v>玉山銀行</x:v>
      </x:c>
      <x:c r="I29" s="15" t="str"/>
      <x:c r="J29" s="15" t="str"/>
      <x:c r="K29" s="15" t="str">
        <x:f>IF(I29="","",IF(I29=C29,"正確","錯誤"))</x:f>
      </x:c>
      <x:c r="L29" s="15" t="str"/>
      <x:c r="M29" s="15" t="str"/>
    </x:row>
    <x:row r="30">
      <x:c r="A30" s="15" t="str">
        <x:v>N029</x:v>
      </x:c>
      <x:c r="B30" s="15" t="str">
        <x:v>正常</x:v>
      </x:c>
      <x:c r="C30" s="15" t="str">
        <x:v>safe</x:v>
      </x:c>
      <x:c r="D30" s="15" t="str">
        <x:v>https://www.taishinbank.com.tw/</x:v>
      </x:c>
      <x:c r="E30" s="15" t="str">
        <x:v>可直接開啟</x:v>
      </x:c>
      <x:c r="F30" s="15" t="str">
        <x:v>銀行官網</x:v>
      </x:c>
      <x:c r="G30" s="15" t="str">
        <x:v>測銀行官網是否誤判</x:v>
      </x:c>
      <x:c r="H30" s="15" t="str">
        <x:v>台新銀行</x:v>
      </x:c>
      <x:c r="I30" s="15" t="str"/>
      <x:c r="J30" s="15" t="str"/>
      <x:c r="K30" s="15" t="str">
        <x:f>IF(I30="","",IF(I30=C30,"正確","錯誤"))</x:f>
      </x:c>
      <x:c r="L30" s="15" t="str"/>
      <x:c r="M30" s="15" t="str"/>
    </x:row>
    <x:row r="31">
      <x:c r="A31" s="15" t="str">
        <x:v>N030</x:v>
      </x:c>
      <x:c r="B31" s="15" t="str">
        <x:v>正常</x:v>
      </x:c>
      <x:c r="C31" s="15" t="str">
        <x:v>safe</x:v>
      </x:c>
      <x:c r="D31" s="15" t="str">
        <x:v>https://www.cathaybk.com.tw/</x:v>
      </x:c>
      <x:c r="E31" s="15" t="str">
        <x:v>可直接開啟</x:v>
      </x:c>
      <x:c r="F31" s="15" t="str">
        <x:v>銀行官網</x:v>
      </x:c>
      <x:c r="G31" s="15" t="str">
        <x:v>測銀行官網是否誤判</x:v>
      </x:c>
      <x:c r="H31" s="15" t="str">
        <x:v>國泰世華銀行</x:v>
      </x:c>
      <x:c r="I31" s="15" t="str"/>
      <x:c r="J31" s="15" t="str"/>
      <x:c r="K31" s="15" t="str">
        <x:f>IF(I31="","",IF(I31=C31,"正確","錯誤"))</x:f>
      </x:c>
      <x:c r="L31" s="15" t="str"/>
      <x:c r="M31" s="15" t="str"/>
    </x:row>
    <x:row r="32">
      <x:c r="A32" s="15" t="str">
        <x:v>N031</x:v>
      </x:c>
      <x:c r="B32" s="15" t="str">
        <x:v>正常</x:v>
      </x:c>
      <x:c r="C32" s="15" t="str">
        <x:v>safe</x:v>
      </x:c>
      <x:c r="D32" s="15" t="str">
        <x:v>https://www.fubon.com/banking/</x:v>
      </x:c>
      <x:c r="E32" s="15" t="str">
        <x:v>可直接開啟</x:v>
      </x:c>
      <x:c r="F32" s="15" t="str">
        <x:v>銀行官網</x:v>
      </x:c>
      <x:c r="G32" s="15" t="str">
        <x:v>測銀行官網是否誤判</x:v>
      </x:c>
      <x:c r="H32" s="15" t="str">
        <x:v>台北富邦銀行</x:v>
      </x:c>
      <x:c r="I32" s="15" t="str"/>
      <x:c r="J32" s="15" t="str"/>
      <x:c r="K32" s="15" t="str">
        <x:f>IF(I32="","",IF(I32=C32,"正確","錯誤"))</x:f>
      </x:c>
      <x:c r="L32" s="15" t="str"/>
      <x:c r="M32" s="15" t="str"/>
    </x:row>
    <x:row r="33">
      <x:c r="A33" s="15" t="str">
        <x:v>N032</x:v>
      </x:c>
      <x:c r="B33" s="15" t="str">
        <x:v>正常</x:v>
      </x:c>
      <x:c r="C33" s="15" t="str">
        <x:v>safe</x:v>
      </x:c>
      <x:c r="D33" s="15" t="str">
        <x:v>https://www.megabank.com.tw/</x:v>
      </x:c>
      <x:c r="E33" s="15" t="str">
        <x:v>可直接開啟</x:v>
      </x:c>
      <x:c r="F33" s="15" t="str">
        <x:v>銀行官網</x:v>
      </x:c>
      <x:c r="G33" s="15" t="str">
        <x:v>測銀行官網是否誤判</x:v>
      </x:c>
      <x:c r="H33" s="15" t="str">
        <x:v>兆豐銀行</x:v>
      </x:c>
      <x:c r="I33" s="15" t="str"/>
      <x:c r="J33" s="15" t="str"/>
      <x:c r="K33" s="15" t="str">
        <x:f>IF(I33="","",IF(I33=C33,"正確","錯誤"))</x:f>
      </x:c>
      <x:c r="L33" s="15" t="str"/>
      <x:c r="M33" s="15" t="str"/>
    </x:row>
    <x:row r="34">
      <x:c r="A34" s="15" t="str">
        <x:v>N033</x:v>
      </x:c>
      <x:c r="B34" s="15" t="str">
        <x:v>正常</x:v>
      </x:c>
      <x:c r="C34" s="15" t="str">
        <x:v>safe</x:v>
      </x:c>
      <x:c r="D34" s="15" t="str">
        <x:v>https://www.firstbank.com.tw/</x:v>
      </x:c>
      <x:c r="E34" s="15" t="str">
        <x:v>可直接開啟</x:v>
      </x:c>
      <x:c r="F34" s="15" t="str">
        <x:v>銀行官網</x:v>
      </x:c>
      <x:c r="G34" s="15" t="str">
        <x:v>測銀行官網是否誤判</x:v>
      </x:c>
      <x:c r="H34" s="15" t="str">
        <x:v>第一銀行</x:v>
      </x:c>
      <x:c r="I34" s="15" t="str"/>
      <x:c r="J34" s="15" t="str"/>
      <x:c r="K34" s="15" t="str">
        <x:f>IF(I34="","",IF(I34=C34,"正確","錯誤"))</x:f>
      </x:c>
      <x:c r="L34" s="15" t="str"/>
      <x:c r="M34" s="15" t="str"/>
    </x:row>
    <x:row r="35">
      <x:c r="A35" s="15" t="str">
        <x:v>N034</x:v>
      </x:c>
      <x:c r="B35" s="15" t="str">
        <x:v>正常</x:v>
      </x:c>
      <x:c r="C35" s="15" t="str">
        <x:v>safe</x:v>
      </x:c>
      <x:c r="D35" s="15" t="str">
        <x:v>https://www.chb.com.tw/</x:v>
      </x:c>
      <x:c r="E35" s="15" t="str">
        <x:v>可直接開啟</x:v>
      </x:c>
      <x:c r="F35" s="15" t="str">
        <x:v>銀行官網</x:v>
      </x:c>
      <x:c r="G35" s="15" t="str">
        <x:v>測銀行官網是否誤判</x:v>
      </x:c>
      <x:c r="H35" s="15" t="str">
        <x:v>彰化銀行</x:v>
      </x:c>
      <x:c r="I35" s="15" t="str"/>
      <x:c r="J35" s="15" t="str"/>
      <x:c r="K35" s="15" t="str">
        <x:f>IF(I35="","",IF(I35=C35,"正確","錯誤"))</x:f>
      </x:c>
      <x:c r="L35" s="15" t="str"/>
      <x:c r="M35" s="15" t="str"/>
    </x:row>
    <x:row r="36">
      <x:c r="A36" s="15" t="str">
        <x:v>N035</x:v>
      </x:c>
      <x:c r="B36" s="15" t="str">
        <x:v>正常</x:v>
      </x:c>
      <x:c r="C36" s="15" t="str">
        <x:v>safe</x:v>
      </x:c>
      <x:c r="D36" s="15" t="str">
        <x:v>https://www.landbank.com.tw/</x:v>
      </x:c>
      <x:c r="E36" s="15" t="str">
        <x:v>可直接開啟</x:v>
      </x:c>
      <x:c r="F36" s="15" t="str">
        <x:v>銀行官網</x:v>
      </x:c>
      <x:c r="G36" s="15" t="str">
        <x:v>測銀行官網是否誤判</x:v>
      </x:c>
      <x:c r="H36" s="15" t="str">
        <x:v>土地銀行</x:v>
      </x:c>
      <x:c r="I36" s="15" t="str"/>
      <x:c r="J36" s="15" t="str"/>
      <x:c r="K36" s="15" t="str">
        <x:f>IF(I36="","",IF(I36=C36,"正確","錯誤"))</x:f>
      </x:c>
      <x:c r="L36" s="15" t="str"/>
      <x:c r="M36" s="15" t="str"/>
    </x:row>
    <x:row r="37">
      <x:c r="A37" s="15" t="str">
        <x:v>N036</x:v>
      </x:c>
      <x:c r="B37" s="15" t="str">
        <x:v>正常</x:v>
      </x:c>
      <x:c r="C37" s="15" t="str">
        <x:v>safe</x:v>
      </x:c>
      <x:c r="D37" s="15" t="str">
        <x:v>https://www.niu.edu.tw/</x:v>
      </x:c>
      <x:c r="E37" s="15" t="str">
        <x:v>可直接開啟</x:v>
      </x:c>
      <x:c r="F37" s="15" t="str">
        <x:v>學校網站</x:v>
      </x:c>
      <x:c r="G37" s="15" t="str">
        <x:v>測大學官網是否誤判</x:v>
      </x:c>
      <x:c r="H37" s="15" t="str">
        <x:v>國立宜蘭大學</x:v>
      </x:c>
      <x:c r="I37" s="15" t="str"/>
      <x:c r="J37" s="15" t="str"/>
      <x:c r="K37" s="15" t="str">
        <x:f>IF(I37="","",IF(I37=C37,"正確","錯誤"))</x:f>
      </x:c>
      <x:c r="L37" s="15" t="str"/>
      <x:c r="M37" s="15" t="str"/>
    </x:row>
    <x:row r="38">
      <x:c r="A38" s="15" t="str">
        <x:v>N037</x:v>
      </x:c>
      <x:c r="B38" s="15" t="str">
        <x:v>正常</x:v>
      </x:c>
      <x:c r="C38" s="15" t="str">
        <x:v>safe</x:v>
      </x:c>
      <x:c r="D38" s="15" t="str">
        <x:v>https://www.ncku.edu.tw/</x:v>
      </x:c>
      <x:c r="E38" s="15" t="str">
        <x:v>可直接開啟</x:v>
      </x:c>
      <x:c r="F38" s="15" t="str">
        <x:v>學校網站</x:v>
      </x:c>
      <x:c r="G38" s="15" t="str">
        <x:v>測大學官網是否誤判</x:v>
      </x:c>
      <x:c r="H38" s="15" t="str">
        <x:v>成功大學</x:v>
      </x:c>
      <x:c r="I38" s="15" t="str"/>
      <x:c r="J38" s="15" t="str"/>
      <x:c r="K38" s="15" t="str">
        <x:f>IF(I38="","",IF(I38=C38,"正確","錯誤"))</x:f>
      </x:c>
      <x:c r="L38" s="15" t="str"/>
      <x:c r="M38" s="15" t="str"/>
    </x:row>
    <x:row r="39">
      <x:c r="A39" s="15" t="str">
        <x:v>N038</x:v>
      </x:c>
      <x:c r="B39" s="15" t="str">
        <x:v>正常</x:v>
      </x:c>
      <x:c r="C39" s="15" t="str">
        <x:v>safe</x:v>
      </x:c>
      <x:c r="D39" s="15" t="str">
        <x:v>https://www.ntu.edu.tw/</x:v>
      </x:c>
      <x:c r="E39" s="15" t="str">
        <x:v>可直接開啟</x:v>
      </x:c>
      <x:c r="F39" s="15" t="str">
        <x:v>學校網站</x:v>
      </x:c>
      <x:c r="G39" s="15" t="str">
        <x:v>測大學官網是否誤判</x:v>
      </x:c>
      <x:c r="H39" s="15" t="str">
        <x:v>臺灣大學</x:v>
      </x:c>
      <x:c r="I39" s="15" t="str"/>
      <x:c r="J39" s="15" t="str"/>
      <x:c r="K39" s="15" t="str">
        <x:f>IF(I39="","",IF(I39=C39,"正確","錯誤"))</x:f>
      </x:c>
      <x:c r="L39" s="15" t="str"/>
      <x:c r="M39" s="15" t="str"/>
    </x:row>
    <x:row r="40">
      <x:c r="A40" s="15" t="str">
        <x:v>N039</x:v>
      </x:c>
      <x:c r="B40" s="15" t="str">
        <x:v>正常</x:v>
      </x:c>
      <x:c r="C40" s="15" t="str">
        <x:v>safe</x:v>
      </x:c>
      <x:c r="D40" s="15" t="str">
        <x:v>https://www.ntnu.edu.tw/</x:v>
      </x:c>
      <x:c r="E40" s="15" t="str">
        <x:v>可直接開啟</x:v>
      </x:c>
      <x:c r="F40" s="15" t="str">
        <x:v>學校網站</x:v>
      </x:c>
      <x:c r="G40" s="15" t="str">
        <x:v>測大學官網是否誤判</x:v>
      </x:c>
      <x:c r="H40" s="15" t="str">
        <x:v>臺師大</x:v>
      </x:c>
      <x:c r="I40" s="15" t="str"/>
      <x:c r="J40" s="15" t="str"/>
      <x:c r="K40" s="15" t="str">
        <x:f>IF(I40="","",IF(I40=C40,"正確","錯誤"))</x:f>
      </x:c>
      <x:c r="L40" s="15" t="str"/>
      <x:c r="M40" s="15" t="str"/>
    </x:row>
    <x:row r="41">
      <x:c r="A41" s="15" t="str">
        <x:v>N040</x:v>
      </x:c>
      <x:c r="B41" s="15" t="str">
        <x:v>正常</x:v>
      </x:c>
      <x:c r="C41" s="15" t="str">
        <x:v>safe</x:v>
      </x:c>
      <x:c r="D41" s="15" t="str">
        <x:v>https://www.tnssh.tn.edu.tw/</x:v>
      </x:c>
      <x:c r="E41" s="15" t="str">
        <x:v>可直接開啟</x:v>
      </x:c>
      <x:c r="F41" s="15" t="str">
        <x:v>學校網站</x:v>
      </x:c>
      <x:c r="G41" s="15" t="str">
        <x:v>測高中官網是否誤判</x:v>
      </x:c>
      <x:c r="H41" s="15" t="str">
        <x:v>國立家齊高中</x:v>
      </x:c>
      <x:c r="I41" s="15" t="str"/>
      <x:c r="J41" s="15" t="str"/>
      <x:c r="K41" s="15" t="str">
        <x:f>IF(I41="","",IF(I41=C41,"正確","錯誤"))</x:f>
      </x:c>
      <x:c r="L41" s="15" t="str"/>
      <x:c r="M41" s="15" t="str"/>
    </x:row>
    <x:row r="42">
      <x:c r="A42" s="15" t="str">
        <x:v>N041</x:v>
      </x:c>
      <x:c r="B42" s="15" t="str">
        <x:v>正常</x:v>
      </x:c>
      <x:c r="C42" s="15" t="str">
        <x:v>safe</x:v>
      </x:c>
      <x:c r="D42" s="15" t="str">
        <x:v>https://aio.niu.edu.tw/</x:v>
      </x:c>
      <x:c r="E42" s="15" t="str">
        <x:v>可直接開啟</x:v>
      </x:c>
      <x:c r="F42" s="15" t="str">
        <x:v>競賽網站</x:v>
      </x:c>
      <x:c r="G42" s="15" t="str">
        <x:v>測競賽官網是否誤判</x:v>
      </x:c>
      <x:c r="H42" s="15" t="str">
        <x:v>宜蘭大學競賽網站</x:v>
      </x:c>
      <x:c r="I42" s="15" t="str"/>
      <x:c r="J42" s="15" t="str"/>
      <x:c r="K42" s="15" t="str">
        <x:f>IF(I42="","",IF(I42=C42,"正確","錯誤"))</x:f>
      </x:c>
      <x:c r="L42" s="15" t="str"/>
      <x:c r="M42" s="15" t="str"/>
    </x:row>
    <x:row r="43">
      <x:c r="A43" s="15" t="str">
        <x:v>N042</x:v>
      </x:c>
      <x:c r="B43" s="15" t="str">
        <x:v>正常</x:v>
      </x:c>
      <x:c r="C43" s="15" t="str">
        <x:v>safe</x:v>
      </x:c>
      <x:c r="D43" s="15" t="str">
        <x:v>https://www.taiwanlottery.com.tw/</x:v>
      </x:c>
      <x:c r="E43" s="15" t="str">
        <x:v>可直接開啟</x:v>
      </x:c>
      <x:c r="F43" s="15" t="str">
        <x:v>企業官網</x:v>
      </x:c>
      <x:c r="G43" s="15" t="str">
        <x:v>測彩券官網是否誤判</x:v>
      </x:c>
      <x:c r="H43" s="15" t="str">
        <x:v>台灣彩券</x:v>
      </x:c>
      <x:c r="I43" s="15" t="str"/>
      <x:c r="J43" s="15" t="str"/>
      <x:c r="K43" s="15" t="str">
        <x:f>IF(I43="","",IF(I43=C43,"正確","錯誤"))</x:f>
      </x:c>
      <x:c r="L43" s="15" t="str"/>
      <x:c r="M43" s="15" t="str"/>
    </x:row>
    <x:row r="44">
      <x:c r="A44" s="15" t="str">
        <x:v>N043</x:v>
      </x:c>
      <x:c r="B44" s="15" t="str">
        <x:v>正常</x:v>
      </x:c>
      <x:c r="C44" s="15" t="str">
        <x:v>safe</x:v>
      </x:c>
      <x:c r="D44" s="15" t="str">
        <x:v>https://www.twse.com.tw/</x:v>
      </x:c>
      <x:c r="E44" s="15" t="str">
        <x:v>可直接開啟</x:v>
      </x:c>
      <x:c r="F44" s="15" t="str">
        <x:v>金融資訊</x:v>
      </x:c>
      <x:c r="G44" s="15" t="str">
        <x:v>測證交所是否誤判</x:v>
      </x:c>
      <x:c r="H44" s="15" t="str">
        <x:v>臺灣證券交易所</x:v>
      </x:c>
      <x:c r="I44" s="15" t="str"/>
      <x:c r="J44" s="15" t="str"/>
      <x:c r="K44" s="15" t="str">
        <x:f>IF(I44="","",IF(I44=C44,"正確","錯誤"))</x:f>
      </x:c>
      <x:c r="L44" s="15" t="str"/>
      <x:c r="M44" s="15" t="str"/>
    </x:row>
    <x:row r="45">
      <x:c r="A45" s="15" t="str">
        <x:v>N044</x:v>
      </x:c>
      <x:c r="B45" s="15" t="str">
        <x:v>正常</x:v>
      </x:c>
      <x:c r="C45" s="15" t="str">
        <x:v>safe</x:v>
      </x:c>
      <x:c r="D45" s="15" t="str">
        <x:v>https://www.tpex.org.tw/</x:v>
      </x:c>
      <x:c r="E45" s="15" t="str">
        <x:v>可直接開啟</x:v>
      </x:c>
      <x:c r="F45" s="15" t="str">
        <x:v>金融資訊</x:v>
      </x:c>
      <x:c r="G45" s="15" t="str">
        <x:v>測櫃買中心是否誤判</x:v>
      </x:c>
      <x:c r="H45" s="15" t="str">
        <x:v>證券櫃檯買賣中心</x:v>
      </x:c>
      <x:c r="I45" s="15" t="str"/>
      <x:c r="J45" s="15" t="str"/>
      <x:c r="K45" s="15" t="str">
        <x:f>IF(I45="","",IF(I45=C45,"正確","錯誤"))</x:f>
      </x:c>
      <x:c r="L45" s="15" t="str"/>
      <x:c r="M45" s="15" t="str"/>
    </x:row>
    <x:row r="46">
      <x:c r="A46" s="15" t="str">
        <x:v>N045</x:v>
      </x:c>
      <x:c r="B46" s="15" t="str">
        <x:v>正常</x:v>
      </x:c>
      <x:c r="C46" s="15" t="str">
        <x:v>safe</x:v>
      </x:c>
      <x:c r="D46" s="15" t="str">
        <x:v>https://www.fsc.gov.tw/</x:v>
      </x:c>
      <x:c r="E46" s="15" t="str">
        <x:v>可直接開啟</x:v>
      </x:c>
      <x:c r="F46" s="15" t="str">
        <x:v>政府網站</x:v>
      </x:c>
      <x:c r="G46" s="15" t="str">
        <x:v>測金管會是否誤判</x:v>
      </x:c>
      <x:c r="H46" s="15" t="str">
        <x:v>金融監督管理委員會</x:v>
      </x:c>
      <x:c r="I46" s="15" t="str"/>
      <x:c r="J46" s="15" t="str"/>
      <x:c r="K46" s="15" t="str">
        <x:f>IF(I46="","",IF(I46=C46,"正確","錯誤"))</x:f>
      </x:c>
      <x:c r="L46" s="15" t="str"/>
      <x:c r="M46" s="15" t="str"/>
    </x:row>
    <x:row r="47">
      <x:c r="A47" s="15" t="str">
        <x:v>N046</x:v>
      </x:c>
      <x:c r="B47" s="15" t="str">
        <x:v>正常</x:v>
      </x:c>
      <x:c r="C47" s="15" t="str">
        <x:v>safe</x:v>
      </x:c>
      <x:c r="D47" s="15" t="str">
        <x:v>https://www.boca.gov.tw/</x:v>
      </x:c>
      <x:c r="E47" s="15" t="str">
        <x:v>可直接開啟</x:v>
      </x:c>
      <x:c r="F47" s="15" t="str">
        <x:v>政府網站</x:v>
      </x:c>
      <x:c r="G47" s="15" t="str">
        <x:v>測外交部領事事務局是否誤判</x:v>
      </x:c>
      <x:c r="H47" s="15" t="str">
        <x:v>外交部領事事務局</x:v>
      </x:c>
      <x:c r="I47" s="15" t="str"/>
      <x:c r="J47" s="15" t="str"/>
      <x:c r="K47" s="15" t="str">
        <x:f>IF(I47="","",IF(I47=C47,"正確","錯誤"))</x:f>
      </x:c>
      <x:c r="L47" s="15" t="str"/>
      <x:c r="M47" s="15" t="str"/>
    </x:row>
    <x:row r="48">
      <x:c r="A48" s="15" t="str">
        <x:v>N047</x:v>
      </x:c>
      <x:c r="B48" s="15" t="str">
        <x:v>正常</x:v>
      </x:c>
      <x:c r="C48" s="15" t="str">
        <x:v>safe</x:v>
      </x:c>
      <x:c r="D48" s="15" t="str">
        <x:v>https://www.thsrc.com.tw/</x:v>
      </x:c>
      <x:c r="E48" s="15" t="str">
        <x:v>可直接開啟</x:v>
      </x:c>
      <x:c r="F48" s="15" t="str">
        <x:v>交通網站</x:v>
      </x:c>
      <x:c r="G48" s="15" t="str">
        <x:v>測高鐵官網是否誤判</x:v>
      </x:c>
      <x:c r="H48" s="15" t="str">
        <x:v>台灣高鐵</x:v>
      </x:c>
      <x:c r="I48" s="15" t="str"/>
      <x:c r="J48" s="15" t="str"/>
      <x:c r="K48" s="15" t="str">
        <x:f>IF(I48="","",IF(I48=C48,"正確","錯誤"))</x:f>
      </x:c>
      <x:c r="L48" s="15" t="str"/>
      <x:c r="M48" s="15" t="str"/>
    </x:row>
    <x:row r="49">
      <x:c r="A49" s="15" t="str">
        <x:v>N048</x:v>
      </x:c>
      <x:c r="B49" s="15" t="str">
        <x:v>正常</x:v>
      </x:c>
      <x:c r="C49" s="15" t="str">
        <x:v>safe</x:v>
      </x:c>
      <x:c r="D49" s="15" t="str">
        <x:v>https://www.railway.gov.tw/</x:v>
      </x:c>
      <x:c r="E49" s="15" t="str">
        <x:v>可直接開啟</x:v>
      </x:c>
      <x:c r="F49" s="15" t="str">
        <x:v>交通網站</x:v>
      </x:c>
      <x:c r="G49" s="15" t="str">
        <x:v>測台鐵官網是否誤判</x:v>
      </x:c>
      <x:c r="H49" s="15" t="str">
        <x:v>台鐵</x:v>
      </x:c>
      <x:c r="I49" s="15" t="str"/>
      <x:c r="J49" s="15" t="str"/>
      <x:c r="K49" s="15" t="str">
        <x:f>IF(I49="","",IF(I49=C49,"正確","錯誤"))</x:f>
      </x:c>
      <x:c r="L49" s="15" t="str"/>
      <x:c r="M49" s="15" t="str"/>
    </x:row>
    <x:row r="50">
      <x:c r="A50" s="15" t="str">
        <x:v>N049</x:v>
      </x:c>
      <x:c r="B50" s="15" t="str">
        <x:v>正常</x:v>
      </x:c>
      <x:c r="C50" s="15" t="str">
        <x:v>safe</x:v>
      </x:c>
      <x:c r="D50" s="15" t="str">
        <x:v>https://www.tymetro.com.tw/</x:v>
      </x:c>
      <x:c r="E50" s="15" t="str">
        <x:v>可直接開啟</x:v>
      </x:c>
      <x:c r="F50" s="15" t="str">
        <x:v>交通網站</x:v>
      </x:c>
      <x:c r="G50" s="15" t="str">
        <x:v>測機捷官網是否誤判</x:v>
      </x:c>
      <x:c r="H50" s="15" t="str">
        <x:v>桃園捷運</x:v>
      </x:c>
      <x:c r="I50" s="15" t="str"/>
      <x:c r="J50" s="15" t="str"/>
      <x:c r="K50" s="15" t="str">
        <x:f>IF(I50="","",IF(I50=C50,"正確","錯誤"))</x:f>
      </x:c>
      <x:c r="L50" s="15" t="str"/>
      <x:c r="M50" s="15" t="str"/>
    </x:row>
    <x:row r="51">
      <x:c r="A51" s="15" t="str">
        <x:v>N050</x:v>
      </x:c>
      <x:c r="B51" s="15" t="str">
        <x:v>正常</x:v>
      </x:c>
      <x:c r="C51" s="15" t="str">
        <x:v>safe</x:v>
      </x:c>
      <x:c r="D51" s="15" t="str">
        <x:v>https://www.taipei-101.com.tw/</x:v>
      </x:c>
      <x:c r="E51" s="15" t="str">
        <x:v>可直接開啟</x:v>
      </x:c>
      <x:c r="F51" s="15" t="str">
        <x:v>企業/景點網站</x:v>
      </x:c>
      <x:c r="G51" s="15" t="str">
        <x:v>測景點官網是否誤判</x:v>
      </x:c>
      <x:c r="H51" s="15" t="str">
        <x:v>台北101</x:v>
      </x:c>
      <x:c r="I51" s="15" t="str"/>
      <x:c r="J51" s="15" t="str"/>
      <x:c r="K51" s="15" t="str">
        <x:f>IF(I51="","",IF(I51=C51,"正確","錯誤"))</x:f>
      </x:c>
      <x:c r="L51" s="15" t="str"/>
      <x:c r="M51" s="15" t="str"/>
    </x:row>
    <x:row r="52">
      <x:c r="A52" s="15" t="str">
        <x:v>G001</x:v>
      </x:c>
      <x:c r="B52" s="15" t="str">
        <x:v>灰色防詐內容</x:v>
      </x:c>
      <x:c r="C52" s="15" t="str">
        <x:v>safe</x:v>
      </x:c>
      <x:c r="D52" s="15" t="str">
        <x:v>https://165.npa.gov.tw/</x:v>
      </x:c>
      <x:c r="E52" s="15" t="str">
        <x:v>可直接開啟</x:v>
      </x:c>
      <x:c r="F52" s="15" t="str">
        <x:v>165 官方網站</x:v>
      </x:c>
      <x:c r="G52" s="15" t="str">
        <x:v>測防詐網站是否因關鍵字被誤判</x:v>
      </x:c>
      <x:c r="H52" s="15" t="str">
        <x:v>165 首頁含大量防詐字詞</x:v>
      </x:c>
      <x:c r="I52" s="15" t="str"/>
      <x:c r="J52" s="15" t="str"/>
      <x:c r="K52" s="15" t="str">
        <x:f>IF(I52="","",IF(I52=C52,"正確","錯誤"))</x:f>
      </x:c>
      <x:c r="L52" s="15" t="str"/>
      <x:c r="M52" s="15" t="str"/>
    </x:row>
    <x:row r="53">
      <x:c r="A53" s="15" t="str">
        <x:v>G002</x:v>
      </x:c>
      <x:c r="B53" s="15" t="str">
        <x:v>灰色防詐內容</x:v>
      </x:c>
      <x:c r="C53" s="15" t="str">
        <x:v>safe</x:v>
      </x:c>
      <x:c r="D53" s="15" t="str">
        <x:v>https://police.npa.gov.tw/ch/app/data/view?id=1835&amp;module=wg081&amp;serno=abb286a6-93d3-4917-a019-13cef4e622a0</x:v>
      </x:c>
      <x:c r="E53" s="15" t="str">
        <x:v>可直接開啟</x:v>
      </x:c>
      <x:c r="F53" s="15" t="str">
        <x:v>警政署新聞</x:v>
      </x:c>
      <x:c r="G53" s="15" t="str">
        <x:v>測防詐新聞是否誤判</x:v>
      </x:c>
      <x:c r="H53" s="15" t="str">
        <x:v>普發現金詐騙提醒</x:v>
      </x:c>
      <x:c r="I53" s="15" t="str"/>
      <x:c r="J53" s="15" t="str"/>
      <x:c r="K53" s="15" t="str">
        <x:f>IF(I53="","",IF(I53=C53,"正確","錯誤"))</x:f>
      </x:c>
      <x:c r="L53" s="15" t="str"/>
      <x:c r="M53" s="15" t="str"/>
    </x:row>
    <x:row r="54">
      <x:c r="A54" s="15" t="str">
        <x:v>G003</x:v>
      </x:c>
      <x:c r="B54" s="15" t="str">
        <x:v>灰色防詐內容</x:v>
      </x:c>
      <x:c r="C54" s="15" t="str">
        <x:v>safe</x:v>
      </x:c>
      <x:c r="D54" s="15" t="str">
        <x:v>https://www.cib.npa.gov.tw/ch/app/news/view?id=1887&amp;module=news&amp;serno=c690e5cd-a650-4eaa-95f1-72ec29428b5b</x:v>
      </x:c>
      <x:c r="E54" s="15" t="str">
        <x:v>可直接開啟</x:v>
      </x:c>
      <x:c r="F54" s="15" t="str">
        <x:v>刑事警察局新聞</x:v>
      </x:c>
      <x:c r="G54" s="15" t="str">
        <x:v>測防詐新聞是否誤判</x:v>
      </x:c>
      <x:c r="H54" s="15" t="str">
        <x:v>假普發現金釣魚網站</x:v>
      </x:c>
      <x:c r="I54" s="15" t="str"/>
      <x:c r="J54" s="15" t="str"/>
      <x:c r="K54" s="15" t="str">
        <x:f>IF(I54="","",IF(I54=C54,"正確","錯誤"))</x:f>
      </x:c>
      <x:c r="L54" s="15" t="str"/>
      <x:c r="M54" s="15" t="str"/>
    </x:row>
    <x:row r="55">
      <x:c r="A55" s="15" t="str">
        <x:v>G004</x:v>
      </x:c>
      <x:c r="B55" s="15" t="str">
        <x:v>灰色防詐內容</x:v>
      </x:c>
      <x:c r="C55" s="15" t="str">
        <x:v>safe</x:v>
      </x:c>
      <x:c r="D55" s="15" t="str">
        <x:v>https://www.npa.gov.tw/ch/app/news/view?id=2141&amp;module=clarification&amp;serno=eda346f0-095a-4eda-91b9-fa1477caf028</x:v>
      </x:c>
      <x:c r="E55" s="15" t="str">
        <x:v>可直接開啟</x:v>
      </x:c>
      <x:c r="F55" s="15" t="str">
        <x:v>警政署澄清</x:v>
      </x:c>
      <x:c r="G55" s="15" t="str">
        <x:v>測澄清頁是否誤判</x:v>
      </x:c>
      <x:c r="H55" s="15" t="str">
        <x:v>普發現金不會簡訊通知</x:v>
      </x:c>
      <x:c r="I55" s="15" t="str"/>
      <x:c r="J55" s="15" t="str"/>
      <x:c r="K55" s="15" t="str">
        <x:f>IF(I55="","",IF(I55=C55,"正確","錯誤"))</x:f>
      </x:c>
      <x:c r="L55" s="15" t="str"/>
      <x:c r="M55" s="15" t="str"/>
    </x:row>
    <x:row r="56">
      <x:c r="A56" s="15" t="str">
        <x:v>G005</x:v>
      </x:c>
      <x:c r="B56" s="15" t="str">
        <x:v>灰色防詐內容</x:v>
      </x:c>
      <x:c r="C56" s="15" t="str">
        <x:v>safe</x:v>
      </x:c>
      <x:c r="D56" s="15" t="str">
        <x:v>https://www.esunbank.com/zh-tw/about/announcement/anti-fraud</x:v>
      </x:c>
      <x:c r="E56" s="15" t="str">
        <x:v>可直接開啟</x:v>
      </x:c>
      <x:c r="F56" s="15" t="str">
        <x:v>玉山銀行</x:v>
      </x:c>
      <x:c r="G56" s="15" t="str">
        <x:v>測銀行防詐專區是否誤判</x:v>
      </x:c>
      <x:c r="H56" s="15" t="str">
        <x:v>防範詐騙專區</x:v>
      </x:c>
      <x:c r="I56" s="15" t="str"/>
      <x:c r="J56" s="15" t="str"/>
      <x:c r="K56" s="15" t="str">
        <x:f>IF(I56="","",IF(I56=C56,"正確","錯誤"))</x:f>
      </x:c>
      <x:c r="L56" s="15" t="str"/>
      <x:c r="M56" s="15" t="str"/>
    </x:row>
    <x:row r="57">
      <x:c r="A57" s="15" t="str">
        <x:v>G006</x:v>
      </x:c>
      <x:c r="B57" s="15" t="str">
        <x:v>灰色防詐內容</x:v>
      </x:c>
      <x:c r="C57" s="15" t="str">
        <x:v>safe</x:v>
      </x:c>
      <x:c r="D57" s="15" t="str">
        <x:v>https://www.esunbank.com/zh-tw/about/faq/faqlist?tag=antifraud</x:v>
      </x:c>
      <x:c r="E57" s="15" t="str">
        <x:v>可直接開啟</x:v>
      </x:c>
      <x:c r="F57" s="15" t="str">
        <x:v>玉山銀行</x:v>
      </x:c>
      <x:c r="G57" s="15" t="str">
        <x:v>測銀行 FAQ 是否誤判</x:v>
      </x:c>
      <x:c r="H57" s="15" t="str">
        <x:v>防範詐騙常見問題</x:v>
      </x:c>
      <x:c r="I57" s="15" t="str"/>
      <x:c r="J57" s="15" t="str"/>
      <x:c r="K57" s="15" t="str">
        <x:f>IF(I57="","",IF(I57=C57,"正確","錯誤"))</x:f>
      </x:c>
      <x:c r="L57" s="15" t="str"/>
      <x:c r="M57" s="15" t="str"/>
    </x:row>
    <x:row r="58">
      <x:c r="A58" s="15" t="str">
        <x:v>G007</x:v>
      </x:c>
      <x:c r="B58" s="15" t="str">
        <x:v>灰色防詐內容</x:v>
      </x:c>
      <x:c r="C58" s="15" t="str">
        <x:v>safe</x:v>
      </x:c>
      <x:c r="D58" s="15" t="str">
        <x:v>https://www.esunbank.com/zh-tw/about/announcement/announcement?i=ZOkJP5EQ3kus3CEtxTu4RA</x:v>
      </x:c>
      <x:c r="E58" s="15" t="str">
        <x:v>可直接開啟</x:v>
      </x:c>
      <x:c r="F58" s="15" t="str">
        <x:v>玉山銀行</x:v>
      </x:c>
      <x:c r="G58" s="15" t="str">
        <x:v>測銀行公告是否誤判</x:v>
      </x:c>
      <x:c r="H58" s="15" t="str">
        <x:v>防範詐騙重要宣導</x:v>
      </x:c>
      <x:c r="I58" s="15" t="str"/>
      <x:c r="J58" s="15" t="str"/>
      <x:c r="K58" s="15" t="str">
        <x:f>IF(I58="","",IF(I58=C58,"正確","錯誤"))</x:f>
      </x:c>
      <x:c r="L58" s="15" t="str"/>
      <x:c r="M58" s="15" t="str"/>
    </x:row>
    <x:row r="59">
      <x:c r="A59" s="15" t="str">
        <x:v>G008</x:v>
      </x:c>
      <x:c r="B59" s="15" t="str">
        <x:v>灰色防詐內容</x:v>
      </x:c>
      <x:c r="C59" s="15" t="str">
        <x:v>safe</x:v>
      </x:c>
      <x:c r="D59" s="15" t="str">
        <x:v>https://www.vac.gov.tw/vac_service/newTaipei/cp-3391-189178-103.html</x:v>
      </x:c>
      <x:c r="E59" s="15" t="str">
        <x:v>可直接開啟</x:v>
      </x:c>
      <x:c r="F59" s="15" t="str">
        <x:v>政府宣導</x:v>
      </x:c>
      <x:c r="G59" s="15" t="str">
        <x:v>測政府防騙宣導是否誤判</x:v>
      </x:c>
      <x:c r="H59" s="15" t="str">
        <x:v>點錯一次，領款變匯款</x:v>
      </x:c>
      <x:c r="I59" s="15" t="str"/>
      <x:c r="J59" s="15" t="str"/>
      <x:c r="K59" s="15" t="str">
        <x:f>IF(I59="","",IF(I59=C59,"正確","錯誤"))</x:f>
      </x:c>
      <x:c r="L59" s="15" t="str"/>
      <x:c r="M59" s="15" t="str"/>
    </x:row>
    <x:row r="60">
      <x:c r="A60" s="15" t="str">
        <x:v>G009</x:v>
      </x:c>
      <x:c r="B60" s="15" t="str">
        <x:v>灰色防詐內容</x:v>
      </x:c>
      <x:c r="C60" s="15" t="str">
        <x:v>safe</x:v>
      </x:c>
      <x:c r="D60" s="15" t="str">
        <x:v>https://www.vac.gov.tw/vac_service/newtaipei/cp-3391-193177-103.html</x:v>
      </x:c>
      <x:c r="E60" s="15" t="str">
        <x:v>可直接開啟</x:v>
      </x:c>
      <x:c r="F60" s="15" t="str">
        <x:v>政府宣導</x:v>
      </x:c>
      <x:c r="G60" s="15" t="str">
        <x:v>測政府防騙宣導是否誤判</x:v>
      </x:c>
      <x:c r="H60" s="15" t="str">
        <x:v>普發現金防詐宣導</x:v>
      </x:c>
      <x:c r="I60" s="15" t="str"/>
      <x:c r="J60" s="15" t="str"/>
      <x:c r="K60" s="15" t="str">
        <x:f>IF(I60="","",IF(I60=C60,"正確","錯誤"))</x:f>
      </x:c>
      <x:c r="L60" s="15" t="str"/>
      <x:c r="M60" s="15" t="str"/>
    </x:row>
    <x:row r="61">
      <x:c r="A61" s="15" t="str">
        <x:v>G010</x:v>
      </x:c>
      <x:c r="B61" s="15" t="str">
        <x:v>灰色防詐內容</x:v>
      </x:c>
      <x:c r="C61" s="15" t="str">
        <x:v>safe</x:v>
      </x:c>
      <x:c r="D61" s="15" t="str">
        <x:v>https://www.luzhou.police.ntpc.gov.tw/cp-1087-107325-23.html</x:v>
      </x:c>
      <x:c r="E61" s="15" t="str">
        <x:v>可直接開啟</x:v>
      </x:c>
      <x:c r="F61" s="15" t="str">
        <x:v>警察局宣導</x:v>
      </x:c>
      <x:c r="G61" s="15" t="str">
        <x:v>測地方警局宣導是否誤判</x:v>
      </x:c>
      <x:c r="H61" s="15" t="str">
        <x:v>簡訊驗證碼宣導</x:v>
      </x:c>
      <x:c r="I61" s="15" t="str"/>
      <x:c r="J61" s="15" t="str"/>
      <x:c r="K61" s="15" t="str">
        <x:f>IF(I61="","",IF(I61=C61,"正確","錯誤"))</x:f>
      </x:c>
      <x:c r="L61" s="15" t="str"/>
      <x:c r="M61" s="15" t="str"/>
    </x:row>
    <x:row r="62">
      <x:c r="A62" s="15" t="str">
        <x:v>G011</x:v>
      </x:c>
      <x:c r="B62" s="15" t="str">
        <x:v>灰色防詐內容</x:v>
      </x:c>
      <x:c r="C62" s="15" t="str">
        <x:v>safe</x:v>
      </x:c>
      <x:c r="D62" s="15" t="str">
        <x:v>https://www.pbs.npa.gov.tw/ch/app/data/view?id=18740&amp;module=wg183&amp;serno=2ea7706d-3a1a-4273-a982-330514c768c7</x:v>
      </x:c>
      <x:c r="E62" s="15" t="str">
        <x:v>可直接開啟</x:v>
      </x:c>
      <x:c r="F62" s="15" t="str">
        <x:v>警政新聞</x:v>
      </x:c>
      <x:c r="G62" s="15" t="str">
        <x:v>測警政新聞是否誤判</x:v>
      </x:c>
      <x:c r="H62" s="15" t="str">
        <x:v>假冒財政部詐騙郵件</x:v>
      </x:c>
      <x:c r="I62" s="15" t="str"/>
      <x:c r="J62" s="15" t="str"/>
      <x:c r="K62" s="15" t="str">
        <x:f>IF(I62="","",IF(I62=C62,"正確","錯誤"))</x:f>
      </x:c>
      <x:c r="L62" s="15" t="str"/>
      <x:c r="M62" s="15" t="str"/>
    </x:row>
    <x:row r="63">
      <x:c r="A63" s="15" t="str">
        <x:v>G012</x:v>
      </x:c>
      <x:c r="B63" s="15" t="str">
        <x:v>灰色防詐內容</x:v>
      </x:c>
      <x:c r="C63" s="15" t="str">
        <x:v>safe</x:v>
      </x:c>
      <x:c r="D63" s="15" t="str">
        <x:v>https://www.hlhpd.npa.gov.tw/ch/app/data/view?id=2572&amp;module=publicizearea&amp;serno=9a56cd54-7a0a-4520-9b9d-b7b9caa75d3d</x:v>
      </x:c>
      <x:c r="E63" s="15" t="str">
        <x:v>可直接開啟</x:v>
      </x:c>
      <x:c r="F63" s="15" t="str">
        <x:v>警察局宣導</x:v>
      </x:c>
      <x:c r="G63" s="15" t="str">
        <x:v>測反詐宣導是否誤判</x:v>
      </x:c>
      <x:c r="H63" s="15" t="str">
        <x:v>個資外洩詐騙宣導</x:v>
      </x:c>
      <x:c r="I63" s="15" t="str"/>
      <x:c r="J63" s="15" t="str"/>
      <x:c r="K63" s="15" t="str">
        <x:f>IF(I63="","",IF(I63=C63,"正確","錯誤"))</x:f>
      </x:c>
      <x:c r="L63" s="15" t="str"/>
      <x:c r="M63" s="15" t="str"/>
    </x:row>
    <x:row r="64">
      <x:c r="A64" s="15" t="str">
        <x:v>G013</x:v>
      </x:c>
      <x:c r="B64" s="15" t="str">
        <x:v>灰色防詐內容</x:v>
      </x:c>
      <x:c r="C64" s="15" t="str">
        <x:v>safe</x:v>
      </x:c>
      <x:c r="D64" s="15" t="str">
        <x:v>https://phishingquiz.withgoogle.com/</x:v>
      </x:c>
      <x:c r="E64" s="15" t="str">
        <x:v>可直接開啟</x:v>
      </x:c>
      <x:c r="F64" s="15" t="str">
        <x:v>Google/Jigsaw</x:v>
      </x:c>
      <x:c r="G64" s="15" t="str">
        <x:v>測釣魚辨識教學頁是否誤判</x:v>
      </x:c>
      <x:c r="H64" s="15" t="str">
        <x:v>釣魚測驗</x:v>
      </x:c>
      <x:c r="I64" s="15" t="str"/>
      <x:c r="J64" s="15" t="str"/>
      <x:c r="K64" s="15" t="str">
        <x:f>IF(I64="","",IF(I64=C64,"正確","錯誤"))</x:f>
      </x:c>
      <x:c r="L64" s="15" t="str"/>
      <x:c r="M64" s="15" t="str"/>
    </x:row>
    <x:row r="65">
      <x:c r="A65" s="15" t="str">
        <x:v>G014</x:v>
      </x:c>
      <x:c r="B65" s="15" t="str">
        <x:v>灰色防詐內容</x:v>
      </x:c>
      <x:c r="C65" s="15" t="str">
        <x:v>safe</x:v>
      </x:c>
      <x:c r="D65" s="15" t="str">
        <x:v>https://safebrowsing.google.com/</x:v>
      </x:c>
      <x:c r="E65" s="15" t="str">
        <x:v>可直接開啟</x:v>
      </x:c>
      <x:c r="F65" s="15" t="str">
        <x:v>Google Safe Browsing</x:v>
      </x:c>
      <x:c r="G65" s="15" t="str">
        <x:v>測資安服務頁是否誤判</x:v>
      </x:c>
      <x:c r="H65" s="15" t="str">
        <x:v>Google 安全瀏覽</x:v>
      </x:c>
      <x:c r="I65" s="15" t="str"/>
      <x:c r="J65" s="15" t="str"/>
      <x:c r="K65" s="15" t="str">
        <x:f>IF(I65="","",IF(I65=C65,"正確","錯誤"))</x:f>
      </x:c>
      <x:c r="L65" s="15" t="str"/>
      <x:c r="M65" s="15" t="str"/>
    </x:row>
    <x:row r="66">
      <x:c r="A66" s="15" t="str">
        <x:v>G015</x:v>
      </x:c>
      <x:c r="B66" s="15" t="str">
        <x:v>灰色防詐內容</x:v>
      </x:c>
      <x:c r="C66" s="15" t="str">
        <x:v>safe</x:v>
      </x:c>
      <x:c r="D66" s="15" t="str">
        <x:v>https://transparencyreport.google.com/safe-browsing/overview</x:v>
      </x:c>
      <x:c r="E66" s="15" t="str">
        <x:v>可直接開啟</x:v>
      </x:c>
      <x:c r="F66" s="15" t="str">
        <x:v>Google Transparency Report</x:v>
      </x:c>
      <x:c r="G66" s="15" t="str">
        <x:v>測資安透明報告是否誤判</x:v>
      </x:c>
      <x:c r="H66" s="15" t="str">
        <x:v>Safe Browsing 報告</x:v>
      </x:c>
      <x:c r="I66" s="15" t="str"/>
      <x:c r="J66" s="15" t="str"/>
      <x:c r="K66" s="15" t="str">
        <x:f>IF(I66="","",IF(I66=C66,"正確","錯誤"))</x:f>
      </x:c>
      <x:c r="L66" s="15" t="str"/>
      <x:c r="M66" s="15" t="str"/>
    </x:row>
    <x:row r="67">
      <x:c r="A67" s="15" t="str">
        <x:v>G016</x:v>
      </x:c>
      <x:c r="B67" s="15" t="str">
        <x:v>灰色防詐內容</x:v>
      </x:c>
      <x:c r="C67" s="15" t="str">
        <x:v>safe</x:v>
      </x:c>
      <x:c r="D67" s="15" t="str">
        <x:v>https://support.google.com/chrome/answer/9890866</x:v>
      </x:c>
      <x:c r="E67" s="15" t="str">
        <x:v>可直接開啟</x:v>
      </x:c>
      <x:c r="F67" s="15" t="str">
        <x:v>Google Support</x:v>
      </x:c>
      <x:c r="G67" s="15" t="str">
        <x:v>測安全瀏覽教學是否誤判</x:v>
      </x:c>
      <x:c r="H67" s="15" t="str">
        <x:v>Chrome 安全瀏覽保護</x:v>
      </x:c>
      <x:c r="I67" s="15" t="str"/>
      <x:c r="J67" s="15" t="str"/>
      <x:c r="K67" s="15" t="str">
        <x:f>IF(I67="","",IF(I67=C67,"正確","錯誤"))</x:f>
      </x:c>
      <x:c r="L67" s="15" t="str"/>
      <x:c r="M67" s="15" t="str"/>
    </x:row>
    <x:row r="68">
      <x:c r="A68" s="15" t="str">
        <x:v>G017</x:v>
      </x:c>
      <x:c r="B68" s="15" t="str">
        <x:v>灰色防詐內容</x:v>
      </x:c>
      <x:c r="C68" s="15" t="str">
        <x:v>safe</x:v>
      </x:c>
      <x:c r="D68" s="15" t="str">
        <x:v>https://www.fsc.gov.tw/ch/home.jsp?id=97&amp;parentpath=0,2</x:v>
      </x:c>
      <x:c r="E68" s="15" t="str">
        <x:v>可直接開啟</x:v>
      </x:c>
      <x:c r="F68" s="15" t="str">
        <x:v>金管會</x:v>
      </x:c>
      <x:c r="G68" s="15" t="str">
        <x:v>測金融宣導頁是否誤判</x:v>
      </x:c>
      <x:c r="H68" s="15" t="str">
        <x:v>金融宣導/公告頁</x:v>
      </x:c>
      <x:c r="I68" s="15" t="str"/>
      <x:c r="J68" s="15" t="str"/>
      <x:c r="K68" s="15" t="str">
        <x:f>IF(I68="","",IF(I68=C68,"正確","錯誤"))</x:f>
      </x:c>
      <x:c r="L68" s="15" t="str"/>
      <x:c r="M68" s="15" t="str"/>
    </x:row>
    <x:row r="69">
      <x:c r="A69" s="15" t="str">
        <x:v>G018</x:v>
      </x:c>
      <x:c r="B69" s="15" t="str">
        <x:v>灰色防詐內容</x:v>
      </x:c>
      <x:c r="C69" s="15" t="str">
        <x:v>safe</x:v>
      </x:c>
      <x:c r="D69" s="15" t="str">
        <x:v>https://www.cathaybk.com.tw/cathaybk/personal/support/announcement/</x:v>
      </x:c>
      <x:c r="E69" s="15" t="str">
        <x:v>可直接開啟</x:v>
      </x:c>
      <x:c r="F69" s="15" t="str">
        <x:v>國泰世華銀行</x:v>
      </x:c>
      <x:c r="G69" s="15" t="str">
        <x:v>測銀行公告頁是否誤判</x:v>
      </x:c>
      <x:c r="H69" s="15" t="str">
        <x:v>銀行公告可能含防詐提醒</x:v>
      </x:c>
      <x:c r="I69" s="15" t="str"/>
      <x:c r="J69" s="15" t="str"/>
      <x:c r="K69" s="15" t="str">
        <x:f>IF(I69="","",IF(I69=C69,"正確","錯誤"))</x:f>
      </x:c>
      <x:c r="L69" s="15" t="str"/>
      <x:c r="M69" s="15" t="str"/>
    </x:row>
    <x:row r="70">
      <x:c r="A70" s="15" t="str">
        <x:v>G019</x:v>
      </x:c>
      <x:c r="B70" s="15" t="str">
        <x:v>灰色防詐內容</x:v>
      </x:c>
      <x:c r="C70" s="15" t="str">
        <x:v>safe</x:v>
      </x:c>
      <x:c r="D70" s="15" t="str">
        <x:v>https://www.ctbcbank.com/content/dam/minisite/long/antifraud/index.html</x:v>
      </x:c>
      <x:c r="E70" s="15" t="str">
        <x:v>可直接開啟</x:v>
      </x:c>
      <x:c r="F70" s="15" t="str">
        <x:v>中國信託銀行</x:v>
      </x:c>
      <x:c r="G70" s="15" t="str">
        <x:v>測銀行防詐頁是否誤判</x:v>
      </x:c>
      <x:c r="H70" s="15" t="str">
        <x:v>反詐騙宣導</x:v>
      </x:c>
      <x:c r="I70" s="15" t="str"/>
      <x:c r="J70" s="15" t="str"/>
      <x:c r="K70" s="15" t="str">
        <x:f>IF(I70="","",IF(I70=C70,"正確","錯誤"))</x:f>
      </x:c>
      <x:c r="L70" s="15" t="str"/>
      <x:c r="M70" s="15" t="str"/>
    </x:row>
    <x:row r="71">
      <x:c r="A71" s="15" t="str">
        <x:v>G020</x:v>
      </x:c>
      <x:c r="B71" s="15" t="str">
        <x:v>灰色防詐內容</x:v>
      </x:c>
      <x:c r="C71" s="15" t="str">
        <x:v>safe</x:v>
      </x:c>
      <x:c r="D71" s="15" t="str">
        <x:v>https://www.taishinbank.com.tw/TSB/about/news/</x:v>
      </x:c>
      <x:c r="E71" s="15" t="str">
        <x:v>可直接開啟</x:v>
      </x:c>
      <x:c r="F71" s="15" t="str">
        <x:v>台新銀行</x:v>
      </x:c>
      <x:c r="G71" s="15" t="str">
        <x:v>測銀行新聞公告是否誤判</x:v>
      </x:c>
      <x:c r="H71" s="15" t="str">
        <x:v>銀行公告可能含風險字詞</x:v>
      </x:c>
      <x:c r="I71" s="15" t="str"/>
      <x:c r="J71" s="15" t="str"/>
      <x:c r="K71" s="15" t="str">
        <x:f>IF(I71="","",IF(I71=C71,"正確","錯誤"))</x:f>
      </x:c>
      <x:c r="L71" s="15" t="str"/>
      <x:c r="M71" s="15" t="str"/>
    </x:row>
    <x:row r="72">
      <x:c r="A72" s="15" t="str">
        <x:v>R001</x:v>
      </x:c>
      <x:c r="B72" s="15" t="str">
        <x:v>高風險公開情資</x:v>
      </x:c>
      <x:c r="C72" s="15" t="str">
        <x:v>danger</x:v>
      </x:c>
      <x:c r="D72" s="15" t="str">
        <x:v>hxxp://t-mobile.mzdglw[.]top/pay/</x:v>
      </x:c>
      <x:c r="E72" s="15" t="str">
        <x:v>不可直接開啟</x:v>
      </x:c>
      <x:c r="F72" s="15" t="str">
        <x:v>OpenPhish public feed</x:v>
      </x:c>
      <x:c r="G72" s="15" t="str">
        <x:v>測真實釣魚網址是否漏判</x:v>
      </x:c>
      <x:c r="H72" s="15" t="str">
        <x:v>去武器化；測試時才轉回 http</x:v>
      </x:c>
      <x:c r="I72" s="15" t="str"/>
      <x:c r="J72" s="15" t="str"/>
      <x:c r="K72" s="15" t="str">
        <x:f>IF(I72="","",IF(I72=C72,"正確","錯誤"))</x:f>
      </x:c>
      <x:c r="L72" s="15" t="str"/>
      <x:c r="M72" s="15" t="str"/>
    </x:row>
    <x:row r="73">
      <x:c r="A73" s="15" t="str">
        <x:v>R002</x:v>
      </x:c>
      <x:c r="B73" s="15" t="str">
        <x:v>高風險公開情資</x:v>
      </x:c>
      <x:c r="C73" s="15" t="str">
        <x:v>danger</x:v>
      </x:c>
      <x:c r="D73" s="15" t="str">
        <x:v>hxxp://uphold-up[.]square[.]site/</x:v>
      </x:c>
      <x:c r="E73" s="15" t="str">
        <x:v>不可直接開啟</x:v>
      </x:c>
      <x:c r="F73" s="15" t="str">
        <x:v>OpenPhish public feed</x:v>
      </x:c>
      <x:c r="G73" s="15" t="str">
        <x:v>測真實釣魚網址是否漏判</x:v>
      </x:c>
      <x:c r="H73" s="15" t="str">
        <x:v>去武器化；測試時才轉回 http</x:v>
      </x:c>
      <x:c r="I73" s="15" t="str"/>
      <x:c r="J73" s="15" t="str"/>
      <x:c r="K73" s="15" t="str">
        <x:f>IF(I73="","",IF(I73=C73,"正確","錯誤"))</x:f>
      </x:c>
      <x:c r="L73" s="15" t="str"/>
      <x:c r="M73" s="15" t="str"/>
    </x:row>
    <x:row r="74">
      <x:c r="A74" s="15" t="str">
        <x:v>R003</x:v>
      </x:c>
      <x:c r="B74" s="15" t="str">
        <x:v>高風險公開情資</x:v>
      </x:c>
      <x:c r="C74" s="15" t="str">
        <x:v>danger</x:v>
      </x:c>
      <x:c r="D74" s="15" t="str">
        <x:v>hxxps://www[.]roblox[.]et/users/9801375595/profile</x:v>
      </x:c>
      <x:c r="E74" s="15" t="str">
        <x:v>不可直接開啟</x:v>
      </x:c>
      <x:c r="F74" s="15" t="str">
        <x:v>OpenPhish public feed</x:v>
      </x:c>
      <x:c r="G74" s="15" t="str">
        <x:v>測仿冒品牌/遊戲頁是否漏判</x:v>
      </x:c>
      <x:c r="H74" s="15" t="str">
        <x:v>去武器化</x:v>
      </x:c>
      <x:c r="I74" s="15" t="str"/>
      <x:c r="J74" s="15" t="str"/>
      <x:c r="K74" s="15" t="str">
        <x:f>IF(I74="","",IF(I74=C74,"正確","錯誤"))</x:f>
      </x:c>
      <x:c r="L74" s="15" t="str"/>
      <x:c r="M74" s="15" t="str"/>
    </x:row>
    <x:row r="75">
      <x:c r="A75" s="15" t="str">
        <x:v>R004</x:v>
      </x:c>
      <x:c r="B75" s="15" t="str">
        <x:v>高風險公開情資</x:v>
      </x:c>
      <x:c r="C75" s="15" t="str">
        <x:v>danger</x:v>
      </x:c>
      <x:c r="D75" s="15" t="str">
        <x:v>hxxp://aicc108-demo[.]pages[.]dev/title/80025923[.]html</x:v>
      </x:c>
      <x:c r="E75" s="15" t="str">
        <x:v>不可直接開啟</x:v>
      </x:c>
      <x:c r="F75" s="15" t="str">
        <x:v>OpenPhish public feed</x:v>
      </x:c>
      <x:c r="G75" s="15" t="str">
        <x:v>測 Cloudflare Pages 釣魚頁</x:v>
      </x:c>
      <x:c r="H75" s="15" t="str">
        <x:v>去武器化</x:v>
      </x:c>
      <x:c r="I75" s="15" t="str"/>
      <x:c r="J75" s="15" t="str"/>
      <x:c r="K75" s="15" t="str">
        <x:f>IF(I75="","",IF(I75=C75,"正確","錯誤"))</x:f>
      </x:c>
      <x:c r="L75" s="15" t="str"/>
      <x:c r="M75" s="15" t="str"/>
    </x:row>
    <x:row r="76">
      <x:c r="A76" s="15" t="str">
        <x:v>R005</x:v>
      </x:c>
      <x:c r="B76" s="15" t="str">
        <x:v>高風險公開情資</x:v>
      </x:c>
      <x:c r="C76" s="15" t="str">
        <x:v>danger</x:v>
      </x:c>
      <x:c r="D76" s="15" t="str">
        <x:v>hxxp://aicc108-demo[.]pages[.]dev/title/70195800[.]html</x:v>
      </x:c>
      <x:c r="E76" s="15" t="str">
        <x:v>不可直接開啟</x:v>
      </x:c>
      <x:c r="F76" s="15" t="str">
        <x:v>OpenPhish public feed</x:v>
      </x:c>
      <x:c r="G76" s="15" t="str">
        <x:v>測 Cloudflare Pages 釣魚頁</x:v>
      </x:c>
      <x:c r="H76" s="15" t="str">
        <x:v>去武器化</x:v>
      </x:c>
      <x:c r="I76" s="15" t="str"/>
      <x:c r="J76" s="15" t="str"/>
      <x:c r="K76" s="15" t="str">
        <x:f>IF(I76="","",IF(I76=C76,"正確","錯誤"))</x:f>
      </x:c>
      <x:c r="L76" s="15" t="str"/>
      <x:c r="M76" s="15" t="str"/>
    </x:row>
    <x:row r="77">
      <x:c r="A77" s="15" t="str">
        <x:v>R006</x:v>
      </x:c>
      <x:c r="B77" s="15" t="str">
        <x:v>高風險公開情資</x:v>
      </x:c>
      <x:c r="C77" s="15" t="str">
        <x:v>danger</x:v>
      </x:c>
      <x:c r="D77" s="15" t="str">
        <x:v>hxxps://tkshopssvip[.]com/h5/</x:v>
      </x:c>
      <x:c r="E77" s="15" t="str">
        <x:v>不可直接開啟</x:v>
      </x:c>
      <x:c r="F77" s="15" t="str">
        <x:v>OpenPhish public feed</x:v>
      </x:c>
      <x:c r="G77" s="15" t="str">
        <x:v>測疑似投資/購物釣魚頁</x:v>
      </x:c>
      <x:c r="H77" s="15" t="str">
        <x:v>去武器化</x:v>
      </x:c>
      <x:c r="I77" s="15" t="str"/>
      <x:c r="J77" s="15" t="str"/>
      <x:c r="K77" s="15" t="str">
        <x:f>IF(I77="","",IF(I77=C77,"正確","錯誤"))</x:f>
      </x:c>
      <x:c r="L77" s="15" t="str"/>
      <x:c r="M77" s="15" t="str"/>
    </x:row>
    <x:row r="78">
      <x:c r="A78" s="15" t="str">
        <x:v>R007</x:v>
      </x:c>
      <x:c r="B78" s="15" t="str">
        <x:v>高風險公開情資</x:v>
      </x:c>
      <x:c r="C78" s="15" t="str">
        <x:v>danger</x:v>
      </x:c>
      <x:c r="D78" s="15" t="str">
        <x:v>hxxp://tkshopssvip[.]com/</x:v>
      </x:c>
      <x:c r="E78" s="15" t="str">
        <x:v>不可直接開啟</x:v>
      </x:c>
      <x:c r="F78" s="15" t="str">
        <x:v>OpenPhish public feed</x:v>
      </x:c>
      <x:c r="G78" s="15" t="str">
        <x:v>測疑似投資/購物釣魚頁</x:v>
      </x:c>
      <x:c r="H78" s="15" t="str">
        <x:v>去武器化</x:v>
      </x:c>
      <x:c r="I78" s="15" t="str"/>
      <x:c r="J78" s="15" t="str"/>
      <x:c r="K78" s="15" t="str">
        <x:f>IF(I78="","",IF(I78=C78,"正確","錯誤"))</x:f>
      </x:c>
      <x:c r="L78" s="15" t="str"/>
      <x:c r="M78" s="15" t="str"/>
    </x:row>
    <x:row r="79">
      <x:c r="A79" s="15" t="str">
        <x:v>R008</x:v>
      </x:c>
      <x:c r="B79" s="15" t="str">
        <x:v>高風險公開情資</x:v>
      </x:c>
      <x:c r="C79" s="15" t="str">
        <x:v>danger</x:v>
      </x:c>
      <x:c r="D79" s="15" t="str">
        <x:v>hxxps://customer-sp-alexk[.]pages[.]dev/help/contact/137049864733960</x:v>
      </x:c>
      <x:c r="E79" s="15" t="str">
        <x:v>不可直接開啟</x:v>
      </x:c>
      <x:c r="F79" s="15" t="str">
        <x:v>OpenPhish public feed</x:v>
      </x:c>
      <x:c r="G79" s="15" t="str">
        <x:v>測客服仿冒頁</x:v>
      </x:c>
      <x:c r="H79" s="15" t="str">
        <x:v>去武器化</x:v>
      </x:c>
      <x:c r="I79" s="15" t="str"/>
      <x:c r="J79" s="15" t="str"/>
      <x:c r="K79" s="15" t="str">
        <x:f>IF(I79="","",IF(I79=C79,"正確","錯誤"))</x:f>
      </x:c>
      <x:c r="L79" s="15" t="str"/>
      <x:c r="M79" s="15" t="str"/>
    </x:row>
    <x:row r="80">
      <x:c r="A80" s="15" t="str">
        <x:v>R009</x:v>
      </x:c>
      <x:c r="B80" s="15" t="str">
        <x:v>高風險公開情資</x:v>
      </x:c>
      <x:c r="C80" s="15" t="str">
        <x:v>danger</x:v>
      </x:c>
      <x:c r="D80" s="15" t="str">
        <x:v>hxxp://www[.]partnercenter-dataprocessinghub[.]me/public/index?ref=business-support-center-DASDFDSYUYEE43FJDSHFSDFsetting%25popup%3fclient_id=889943718806-ual26tplnot2ea8b7n5t4p77keo8eb</x:v>
      </x:c>
      <x:c r="E80" s="15" t="str">
        <x:v>不可直接開啟</x:v>
      </x:c>
      <x:c r="F80" s="15" t="str">
        <x:v>OpenPhish public feed</x:v>
      </x:c>
      <x:c r="G80" s="15" t="str">
        <x:v>測商務中心/帳號審查類釣魚</x:v>
      </x:c>
      <x:c r="H80" s="15" t="str">
        <x:v>去武器化</x:v>
      </x:c>
      <x:c r="I80" s="15" t="str"/>
      <x:c r="J80" s="15" t="str"/>
      <x:c r="K80" s="15" t="str">
        <x:f>IF(I80="","",IF(I80=C80,"正確","錯誤"))</x:f>
      </x:c>
      <x:c r="L80" s="15" t="str"/>
      <x:c r="M80" s="15" t="str"/>
    </x:row>
    <x:row r="81">
      <x:c r="A81" s="15" t="str">
        <x:v>R010</x:v>
      </x:c>
      <x:c r="B81" s="15" t="str">
        <x:v>高風險公開情資</x:v>
      </x:c>
      <x:c r="C81" s="15" t="str">
        <x:v>danger</x:v>
      </x:c>
      <x:c r="D81" s="15" t="str">
        <x:v>hxxp://www[.]partnercenter-dataprocessinghub[.]me/</x:v>
      </x:c>
      <x:c r="E81" s="15" t="str">
        <x:v>不可直接開啟</x:v>
      </x:c>
      <x:c r="F81" s="15" t="str">
        <x:v>OpenPhish public feed</x:v>
      </x:c>
      <x:c r="G81" s="15" t="str">
        <x:v>測商務中心仿冒頁</x:v>
      </x:c>
      <x:c r="H81" s="15" t="str">
        <x:v>去武器化</x:v>
      </x:c>
      <x:c r="I81" s="15" t="str"/>
      <x:c r="J81" s="15" t="str"/>
      <x:c r="K81" s="15" t="str">
        <x:f>IF(I81="","",IF(I81=C81,"正確","錯誤"))</x:f>
      </x:c>
      <x:c r="L81" s="15" t="str"/>
      <x:c r="M81" s="15" t="str"/>
    </x:row>
    <x:row r="82">
      <x:c r="A82" s="15" t="str">
        <x:v>R011</x:v>
      </x:c>
      <x:c r="B82" s="15" t="str">
        <x:v>高風險公開情資</x:v>
      </x:c>
      <x:c r="C82" s="15" t="str">
        <x:v>danger</x:v>
      </x:c>
      <x:c r="D82" s="15" t="str">
        <x:v>hxxp://coorporationmail20226[.]iceiy[.]com/</x:v>
      </x:c>
      <x:c r="E82" s="15" t="str">
        <x:v>不可直接開啟</x:v>
      </x:c>
      <x:c r="F82" s="15" t="str">
        <x:v>OpenPhish public feed</x:v>
      </x:c>
      <x:c r="G82" s="15" t="str">
        <x:v>測企業郵件仿冒</x:v>
      </x:c>
      <x:c r="H82" s="15" t="str">
        <x:v>去武器化</x:v>
      </x:c>
      <x:c r="I82" s="15" t="str"/>
      <x:c r="J82" s="15" t="str"/>
      <x:c r="K82" s="15" t="str">
        <x:f>IF(I82="","",IF(I82=C82,"正確","錯誤"))</x:f>
      </x:c>
      <x:c r="L82" s="15" t="str"/>
      <x:c r="M82" s="15" t="str"/>
    </x:row>
    <x:row r="83">
      <x:c r="A83" s="15" t="str">
        <x:v>R012</x:v>
      </x:c>
      <x:c r="B83" s="15" t="str">
        <x:v>高風險公開情資</x:v>
      </x:c>
      <x:c r="C83" s="15" t="str">
        <x:v>danger</x:v>
      </x:c>
      <x:c r="D83" s="15" t="str">
        <x:v>hxxp://www[.]service-blueticks-fb-479843[.]vercel[.]app/</x:v>
      </x:c>
      <x:c r="E83" s="15" t="str">
        <x:v>不可直接開啟</x:v>
      </x:c>
      <x:c r="F83" s="15" t="str">
        <x:v>OpenPhish public feed</x:v>
      </x:c>
      <x:c r="G83" s="15" t="str">
        <x:v>測社群藍勾/Meta 類釣魚</x:v>
      </x:c>
      <x:c r="H83" s="15" t="str">
        <x:v>去武器化</x:v>
      </x:c>
      <x:c r="I83" s="15" t="str"/>
      <x:c r="J83" s="15" t="str"/>
      <x:c r="K83" s="15" t="str">
        <x:f>IF(I83="","",IF(I83=C83,"正確","錯誤"))</x:f>
      </x:c>
      <x:c r="L83" s="15" t="str"/>
      <x:c r="M83" s="15" t="str"/>
    </x:row>
    <x:row r="84">
      <x:c r="A84" s="15" t="str">
        <x:v>R013</x:v>
      </x:c>
      <x:c r="B84" s="15" t="str">
        <x:v>高風險公開情資</x:v>
      </x:c>
      <x:c r="C84" s="15" t="str">
        <x:v>danger</x:v>
      </x:c>
      <x:c r="D84" s="15" t="str">
        <x:v>hxxps://nazuk-kabra1111[.]github[.]io/amazon-clone/</x:v>
      </x:c>
      <x:c r="E84" s="15" t="str">
        <x:v>不可直接開啟</x:v>
      </x:c>
      <x:c r="F84" s="15" t="str">
        <x:v>OpenPhish public feed</x:v>
      </x:c>
      <x:c r="G84" s="15" t="str">
        <x:v>測 Amazon clone 類釣魚</x:v>
      </x:c>
      <x:c r="H84" s="15" t="str">
        <x:v>去武器化</x:v>
      </x:c>
      <x:c r="I84" s="15" t="str"/>
      <x:c r="J84" s="15" t="str"/>
      <x:c r="K84" s="15" t="str">
        <x:f>IF(I84="","",IF(I84=C84,"正確","錯誤"))</x:f>
      </x:c>
      <x:c r="L84" s="15" t="str"/>
      <x:c r="M84" s="15" t="str"/>
    </x:row>
    <x:row r="85">
      <x:c r="A85" s="15" t="str">
        <x:v>R014</x:v>
      </x:c>
      <x:c r="B85" s="15" t="str">
        <x:v>高風險公開情資</x:v>
      </x:c>
      <x:c r="C85" s="15" t="str">
        <x:v>danger</x:v>
      </x:c>
      <x:c r="D85" s="15" t="str">
        <x:v>hxxps://www[.]robiox[.]com[.]ps/users/4233503025/profile</x:v>
      </x:c>
      <x:c r="E85" s="15" t="str">
        <x:v>不可直接開啟</x:v>
      </x:c>
      <x:c r="F85" s="15" t="str">
        <x:v>OpenPhish public feed</x:v>
      </x:c>
      <x:c r="G85" s="15" t="str">
        <x:v>測仿冒 Roblox 網域</x:v>
      </x:c>
      <x:c r="H85" s="15" t="str">
        <x:v>去武器化</x:v>
      </x:c>
      <x:c r="I85" s="15" t="str"/>
      <x:c r="J85" s="15" t="str"/>
      <x:c r="K85" s="15" t="str">
        <x:f>IF(I85="","",IF(I85=C85,"正確","錯誤"))</x:f>
      </x:c>
      <x:c r="L85" s="15" t="str"/>
      <x:c r="M85" s="15" t="str"/>
    </x:row>
    <x:row r="86">
      <x:c r="A86" s="15" t="str">
        <x:v>R015</x:v>
      </x:c>
      <x:c r="B86" s="15" t="str">
        <x:v>高風險公開情資</x:v>
      </x:c>
      <x:c r="C86" s="15" t="str">
        <x:v>danger</x:v>
      </x:c>
      <x:c r="D86" s="15" t="str">
        <x:v>hxxps://t-mobile[.]dfezuc[.]top/pay/</x:v>
      </x:c>
      <x:c r="E86" s="15" t="str">
        <x:v>不可直接開啟</x:v>
      </x:c>
      <x:c r="F86" s="15" t="str">
        <x:v>OpenPhish public feed</x:v>
      </x:c>
      <x:c r="G86" s="15" t="str">
        <x:v>測仿冒電信付款頁</x:v>
      </x:c>
      <x:c r="H86" s="15" t="str">
        <x:v>去武器化</x:v>
      </x:c>
      <x:c r="I86" s="15" t="str"/>
      <x:c r="J86" s="15" t="str"/>
      <x:c r="K86" s="15" t="str">
        <x:f>IF(I86="","",IF(I86=C86,"正確","錯誤"))</x:f>
      </x:c>
      <x:c r="L86" s="15" t="str"/>
      <x:c r="M86" s="15" t="str"/>
    </x:row>
    <x:row r="87">
      <x:c r="A87" s="15" t="str">
        <x:v>R016</x:v>
      </x:c>
      <x:c r="B87" s="15" t="str">
        <x:v>高風險公開情資</x:v>
      </x:c>
      <x:c r="C87" s="15" t="str">
        <x:v>danger</x:v>
      </x:c>
      <x:c r="D87" s="15" t="str">
        <x:v>hxxps://t-mobile[.]dmhcua[.]top/pay/</x:v>
      </x:c>
      <x:c r="E87" s="15" t="str">
        <x:v>不可直接開啟</x:v>
      </x:c>
      <x:c r="F87" s="15" t="str">
        <x:v>OpenPhish public feed</x:v>
      </x:c>
      <x:c r="G87" s="15" t="str">
        <x:v>測仿冒電信付款頁</x:v>
      </x:c>
      <x:c r="H87" s="15" t="str">
        <x:v>去武器化</x:v>
      </x:c>
      <x:c r="I87" s="15" t="str"/>
      <x:c r="J87" s="15" t="str"/>
      <x:c r="K87" s="15" t="str">
        <x:f>IF(I87="","",IF(I87=C87,"正確","錯誤"))</x:f>
      </x:c>
      <x:c r="L87" s="15" t="str"/>
      <x:c r="M87" s="15" t="str"/>
    </x:row>
    <x:row r="88">
      <x:c r="A88" s="15" t="str">
        <x:v>R017</x:v>
      </x:c>
      <x:c r="B88" s="15" t="str">
        <x:v>高風險公開情資</x:v>
      </x:c>
      <x:c r="C88" s="15" t="str">
        <x:v>danger</x:v>
      </x:c>
      <x:c r="D88" s="15" t="str">
        <x:v>hxxps://t-mobile[.]gilqud[.]top/pay?oSs=1A4SS?WFF=rS01Q</x:v>
      </x:c>
      <x:c r="E88" s="15" t="str">
        <x:v>不可直接開啟</x:v>
      </x:c>
      <x:c r="F88" s="15" t="str">
        <x:v>OpenPhish public feed</x:v>
      </x:c>
      <x:c r="G88" s="15" t="str">
        <x:v>測可疑參數/付款頁</x:v>
      </x:c>
      <x:c r="H88" s="15" t="str">
        <x:v>去武器化</x:v>
      </x:c>
      <x:c r="I88" s="15" t="str"/>
      <x:c r="J88" s="15" t="str"/>
      <x:c r="K88" s="15" t="str">
        <x:f>IF(I88="","",IF(I88=C88,"正確","錯誤"))</x:f>
      </x:c>
      <x:c r="L88" s="15" t="str"/>
      <x:c r="M88" s="15" t="str"/>
    </x:row>
    <x:row r="89">
      <x:c r="A89" s="15" t="str">
        <x:v>R018</x:v>
      </x:c>
      <x:c r="B89" s="15" t="str">
        <x:v>高風險公開情資</x:v>
      </x:c>
      <x:c r="C89" s="15" t="str">
        <x:v>danger</x:v>
      </x:c>
      <x:c r="D89" s="15" t="str">
        <x:v>hxxps://t-mobile[.]iqfclm[.]top/pay/</x:v>
      </x:c>
      <x:c r="E89" s="15" t="str">
        <x:v>不可直接開啟</x:v>
      </x:c>
      <x:c r="F89" s="15" t="str">
        <x:v>OpenPhish public feed</x:v>
      </x:c>
      <x:c r="G89" s="15" t="str">
        <x:v>測仿冒電信付款頁</x:v>
      </x:c>
      <x:c r="H89" s="15" t="str">
        <x:v>去武器化</x:v>
      </x:c>
      <x:c r="I89" s="15" t="str"/>
      <x:c r="J89" s="15" t="str"/>
      <x:c r="K89" s="15" t="str">
        <x:f>IF(I89="","",IF(I89=C89,"正確","錯誤"))</x:f>
      </x:c>
      <x:c r="L89" s="15" t="str"/>
      <x:c r="M89" s="15" t="str"/>
    </x:row>
    <x:row r="90">
      <x:c r="A90" s="15" t="str">
        <x:v>R019</x:v>
      </x:c>
      <x:c r="B90" s="15" t="str">
        <x:v>高風險公開情資</x:v>
      </x:c>
      <x:c r="C90" s="15" t="str">
        <x:v>danger</x:v>
      </x:c>
      <x:c r="D90" s="15" t="str">
        <x:v>hxxps://t-mobile[.]dfilnx[.]top/pay?SHU=6TOCX?rTi=QwwT7</x:v>
      </x:c>
      <x:c r="E90" s="15" t="str">
        <x:v>不可直接開啟</x:v>
      </x:c>
      <x:c r="F90" s="15" t="str">
        <x:v>OpenPhish public feed</x:v>
      </x:c>
      <x:c r="G90" s="15" t="str">
        <x:v>測可疑參數/付款頁</x:v>
      </x:c>
      <x:c r="H90" s="15" t="str">
        <x:v>去武器化</x:v>
      </x:c>
      <x:c r="I90" s="15" t="str"/>
      <x:c r="J90" s="15" t="str"/>
      <x:c r="K90" s="15" t="str">
        <x:f>IF(I90="","",IF(I90=C90,"正確","錯誤"))</x:f>
      </x:c>
      <x:c r="L90" s="15" t="str"/>
      <x:c r="M90" s="15" t="str"/>
    </x:row>
    <x:row r="91">
      <x:c r="A91" s="15" t="str">
        <x:v>R020</x:v>
      </x:c>
      <x:c r="B91" s="15" t="str">
        <x:v>高風險公開情資</x:v>
      </x:c>
      <x:c r="C91" s="15" t="str">
        <x:v>danger</x:v>
      </x:c>
      <x:c r="D91" s="15" t="str">
        <x:v>hxxps://t-mobile[.]mvulse[.]top/pay/</x:v>
      </x:c>
      <x:c r="E91" s="15" t="str">
        <x:v>不可直接開啟</x:v>
      </x:c>
      <x:c r="F91" s="15" t="str">
        <x:v>OpenPhish public feed</x:v>
      </x:c>
      <x:c r="G91" s="15" t="str">
        <x:v>測仿冒電信付款頁</x:v>
      </x:c>
      <x:c r="H91" s="15" t="str">
        <x:v>去武器化</x:v>
      </x:c>
      <x:c r="I91" s="15" t="str"/>
      <x:c r="J91" s="15" t="str"/>
      <x:c r="K91" s="15" t="str">
        <x:f>IF(I91="","",IF(I91=C91,"正確","錯誤"))</x:f>
      </x:c>
      <x:c r="L91" s="15" t="str"/>
      <x:c r="M91" s="15" t="str"/>
    </x:row>
    <x:row r="92">
      <x:c r="A92" s="15" t="str">
        <x:v>R021</x:v>
      </x:c>
      <x:c r="B92" s="15" t="str">
        <x:v>高風險公開情資</x:v>
      </x:c>
      <x:c r="C92" s="15" t="str">
        <x:v>danger</x:v>
      </x:c>
      <x:c r="D92" s="15" t="str">
        <x:v>hxxps://t-mobile[.]pyvmjg[.]top/pay/</x:v>
      </x:c>
      <x:c r="E92" s="15" t="str">
        <x:v>不可直接開啟</x:v>
      </x:c>
      <x:c r="F92" s="15" t="str">
        <x:v>OpenPhish public feed</x:v>
      </x:c>
      <x:c r="G92" s="15" t="str">
        <x:v>測仿冒電信付款頁</x:v>
      </x:c>
      <x:c r="H92" s="15" t="str">
        <x:v>去武器化</x:v>
      </x:c>
      <x:c r="I92" s="15" t="str"/>
      <x:c r="J92" s="15" t="str"/>
      <x:c r="K92" s="15" t="str">
        <x:f>IF(I92="","",IF(I92=C92,"正確","錯誤"))</x:f>
      </x:c>
      <x:c r="L92" s="15" t="str"/>
      <x:c r="M92" s="15" t="str"/>
    </x:row>
    <x:row r="93">
      <x:c r="A93" s="15" t="str">
        <x:v>R022</x:v>
      </x:c>
      <x:c r="B93" s="15" t="str">
        <x:v>高風險公開情資</x:v>
      </x:c>
      <x:c r="C93" s="15" t="str">
        <x:v>danger</x:v>
      </x:c>
      <x:c r="D93" s="15" t="str">
        <x:v>hxxps://t-mobile[.]tgwchb[.]top/pay/</x:v>
      </x:c>
      <x:c r="E93" s="15" t="str">
        <x:v>不可直接開啟</x:v>
      </x:c>
      <x:c r="F93" s="15" t="str">
        <x:v>OpenPhish public feed</x:v>
      </x:c>
      <x:c r="G93" s="15" t="str">
        <x:v>測仿冒電信付款頁</x:v>
      </x:c>
      <x:c r="H93" s="15" t="str">
        <x:v>去武器化</x:v>
      </x:c>
      <x:c r="I93" s="15" t="str"/>
      <x:c r="J93" s="15" t="str"/>
      <x:c r="K93" s="15" t="str">
        <x:f>IF(I93="","",IF(I93=C93,"正確","錯誤"))</x:f>
      </x:c>
      <x:c r="L93" s="15" t="str"/>
      <x:c r="M93" s="15" t="str"/>
    </x:row>
    <x:row r="94">
      <x:c r="A94" s="15" t="str">
        <x:v>R023</x:v>
      </x:c>
      <x:c r="B94" s="15" t="str">
        <x:v>高風險公開情資</x:v>
      </x:c>
      <x:c r="C94" s="15" t="str">
        <x:v>danger</x:v>
      </x:c>
      <x:c r="D94" s="15" t="str">
        <x:v>hxxps://coinbase-inv[.]com/?shiny</x:v>
      </x:c>
      <x:c r="E94" s="15" t="str">
        <x:v>不可直接開啟</x:v>
      </x:c>
      <x:c r="F94" s="15" t="str">
        <x:v>OpenPhish public feed</x:v>
      </x:c>
      <x:c r="G94" s="15" t="str">
        <x:v>測加密貨幣/投資類釣魚</x:v>
      </x:c>
      <x:c r="H94" s="15" t="str">
        <x:v>去武器化</x:v>
      </x:c>
      <x:c r="I94" s="15" t="str"/>
      <x:c r="J94" s="15" t="str"/>
      <x:c r="K94" s="15" t="str">
        <x:f>IF(I94="","",IF(I94=C94,"正確","錯誤"))</x:f>
      </x:c>
      <x:c r="L94" s="15" t="str"/>
      <x:c r="M94" s="15" t="str"/>
    </x:row>
    <x:row r="95">
      <x:c r="A95" s="15" t="str">
        <x:v>R024</x:v>
      </x:c>
      <x:c r="B95" s="15" t="str">
        <x:v>高風險公開情資</x:v>
      </x:c>
      <x:c r="C95" s="15" t="str">
        <x:v>danger</x:v>
      </x:c>
      <x:c r="D95" s="15" t="str">
        <x:v>hxxps://www[.]robiox[.]com[.]ua/communities/9651599256/DupeWorld</x:v>
      </x:c>
      <x:c r="E95" s="15" t="str">
        <x:v>不可直接開啟</x:v>
      </x:c>
      <x:c r="F95" s="15" t="str">
        <x:v>OpenPhish public feed</x:v>
      </x:c>
      <x:c r="G95" s="15" t="str">
        <x:v>測仿冒遊戲社群頁</x:v>
      </x:c>
      <x:c r="H95" s="15" t="str">
        <x:v>去武器化</x:v>
      </x:c>
      <x:c r="I95" s="15" t="str"/>
      <x:c r="J95" s="15" t="str"/>
      <x:c r="K95" s="15" t="str">
        <x:f>IF(I95="","",IF(I95=C95,"正確","錯誤"))</x:f>
      </x:c>
      <x:c r="L95" s="15" t="str"/>
      <x:c r="M95" s="15" t="str"/>
    </x:row>
    <x:row r="96">
      <x:c r="A96" s="15" t="str">
        <x:v>R025</x:v>
      </x:c>
      <x:c r="B96" s="15" t="str">
        <x:v>高風險公開情資</x:v>
      </x:c>
      <x:c r="C96" s="15" t="str">
        <x:v>danger</x:v>
      </x:c>
      <x:c r="D96" s="15" t="str">
        <x:v>hxxps://authentication[.]ms/E[.]3qMY8BhGFzfw?/VGhlIG5leHQgZ2VuZXJhdGlvbiBvZiBzZWN1cml0eSBhd2FyZW5lc3MgaXMgZGVzaWduZWQgZm9yIGVtcGxveWVlcyBhbmQgYnVpbHQgZm9yIGVudGVycHJpc2VzLiBPdXIgaW5kdXN0cnktbGVhZGluZyByZXN1bHRzIGFyZSBwb3dlcmVkIGJ5IGNvZ25pdGl2ZSBhdXRvbWF0aW9uLg</x:v>
      </x:c>
      <x:c r="E96" s="15" t="str">
        <x:v>不可直接開啟</x:v>
      </x:c>
      <x:c r="F96" s="15" t="str">
        <x:v>OpenPhish public feed</x:v>
      </x:c>
      <x:c r="G96" s="15" t="str">
        <x:v>測 Microsoft/authentication 類釣魚</x:v>
      </x:c>
      <x:c r="H96" s="15" t="str">
        <x:v>去武器化</x:v>
      </x:c>
      <x:c r="I96" s="15" t="str"/>
      <x:c r="J96" s="15" t="str"/>
      <x:c r="K96" s="15" t="str">
        <x:f>IF(I96="","",IF(I96=C96,"正確","錯誤"))</x:f>
      </x:c>
      <x:c r="L96" s="15" t="str"/>
      <x:c r="M96" s="15" t="str"/>
    </x:row>
    <x:row r="97">
      <x:c r="A97" s="15" t="str">
        <x:v>R026</x:v>
      </x:c>
      <x:c r="B97" s="15" t="str">
        <x:v>高風險公開情資</x:v>
      </x:c>
      <x:c r="C97" s="15" t="str">
        <x:v>danger</x:v>
      </x:c>
      <x:c r="D97" s="15" t="str">
        <x:v>hxxp://codaglobal[.]speciallshop[.]com/</x:v>
      </x:c>
      <x:c r="E97" s="15" t="str">
        <x:v>不可直接開啟</x:v>
      </x:c>
      <x:c r="F97" s="15" t="str">
        <x:v>OpenPhish public feed</x:v>
      </x:c>
      <x:c r="G97" s="15" t="str">
        <x:v>測可疑購物/支付頁</x:v>
      </x:c>
      <x:c r="H97" s="15" t="str">
        <x:v>去武器化</x:v>
      </x:c>
      <x:c r="I97" s="15" t="str"/>
      <x:c r="J97" s="15" t="str"/>
      <x:c r="K97" s="15" t="str">
        <x:f>IF(I97="","",IF(I97=C97,"正確","錯誤"))</x:f>
      </x:c>
      <x:c r="L97" s="15" t="str"/>
      <x:c r="M97" s="15" t="str"/>
    </x:row>
    <x:row r="98">
      <x:c r="A98" s="15" t="str">
        <x:v>R027</x:v>
      </x:c>
      <x:c r="B98" s="15" t="str">
        <x:v>高風險公開情資</x:v>
      </x:c>
      <x:c r="C98" s="15" t="str">
        <x:v>danger</x:v>
      </x:c>
      <x:c r="D98" s="15" t="str">
        <x:v>hxxp://aktifkaann-danaa-paylateerr[.]acdgx[.]my[.]id/</x:v>
      </x:c>
      <x:c r="E98" s="15" t="str">
        <x:v>不可直接開啟</x:v>
      </x:c>
      <x:c r="F98" s="15" t="str">
        <x:v>OpenPhish public feed</x:v>
      </x:c>
      <x:c r="G98" s="15" t="str">
        <x:v>測金融/貸款/付款類釣魚</x:v>
      </x:c>
      <x:c r="H98" s="15" t="str">
        <x:v>去武器化</x:v>
      </x:c>
      <x:c r="I98" s="15" t="str"/>
      <x:c r="J98" s="15" t="str"/>
      <x:c r="K98" s="15" t="str">
        <x:f>IF(I98="","",IF(I98=C98,"正確","錯誤"))</x:f>
      </x:c>
      <x:c r="L98" s="15" t="str"/>
      <x:c r="M98" s="15" t="str"/>
    </x:row>
    <x:row r="99">
      <x:c r="A99" s="15" t="str">
        <x:v>R028</x:v>
      </x:c>
      <x:c r="B99" s="15" t="str">
        <x:v>高風險公開情資</x:v>
      </x:c>
      <x:c r="C99" s="15" t="str">
        <x:v>danger</x:v>
      </x:c>
      <x:c r="D99" s="15" t="str">
        <x:v>hxxps://officialdangerboy[.]github[.]io/NetflixClone/</x:v>
      </x:c>
      <x:c r="E99" s="15" t="str">
        <x:v>不可直接開啟</x:v>
      </x:c>
      <x:c r="F99" s="15" t="str">
        <x:v>OpenPhish public feed</x:v>
      </x:c>
      <x:c r="G99" s="15" t="str">
        <x:v>測 Netflix clone 類釣魚</x:v>
      </x:c>
      <x:c r="H99" s="15" t="str">
        <x:v>去武器化</x:v>
      </x:c>
      <x:c r="I99" s="15" t="str"/>
      <x:c r="J99" s="15" t="str"/>
      <x:c r="K99" s="15" t="str">
        <x:f>IF(I99="","",IF(I99=C99,"正確","錯誤"))</x:f>
      </x:c>
      <x:c r="L99" s="15" t="str"/>
      <x:c r="M99" s="15" t="str"/>
    </x:row>
    <x:row r="100">
      <x:c r="A100" s="15" t="str">
        <x:v>R029</x:v>
      </x:c>
      <x:c r="B100" s="15" t="str">
        <x:v>高風險公開情資</x:v>
      </x:c>
      <x:c r="C100" s="15" t="str">
        <x:v>danger</x:v>
      </x:c>
      <x:c r="D100" s="15" t="str">
        <x:v>hxxps://member014[.]agency-ad-meta[.]com/</x:v>
      </x:c>
      <x:c r="E100" s="15" t="str">
        <x:v>不可直接開啟</x:v>
      </x:c>
      <x:c r="F100" s="15" t="str">
        <x:v>OpenPhish public feed</x:v>
      </x:c>
      <x:c r="G100" s="15" t="str">
        <x:v>測 Meta 廣告帳號類釣魚</x:v>
      </x:c>
      <x:c r="H100" s="15" t="str">
        <x:v>去武器化</x:v>
      </x:c>
      <x:c r="I100" s="15" t="str"/>
      <x:c r="J100" s="15" t="str"/>
      <x:c r="K100" s="15" t="str">
        <x:f>IF(I100="","",IF(I100=C100,"正確","錯誤"))</x:f>
      </x:c>
      <x:c r="L100" s="15" t="str"/>
      <x:c r="M100" s="15" t="str"/>
    </x:row>
    <x:row r="101">
      <x:c r="A101" s="15" t="str">
        <x:v>R030</x:v>
      </x:c>
      <x:c r="B101" s="15" t="str">
        <x:v>高風險公開情資</x:v>
      </x:c>
      <x:c r="C101" s="15" t="str">
        <x:v>danger</x:v>
      </x:c>
      <x:c r="D101" s="15" t="str">
        <x:v>hxxps://muhammadafzaal0[.]github[.]io/Netflix-web-clone/</x:v>
      </x:c>
      <x:c r="E101" s="15" t="str">
        <x:v>不可直接開啟</x:v>
      </x:c>
      <x:c r="F101" s="15" t="str">
        <x:v>OpenPhish public feed</x:v>
      </x:c>
      <x:c r="G101" s="15" t="str">
        <x:v>測 Netflix clone 類釣魚</x:v>
      </x:c>
      <x:c r="H101" s="15" t="str">
        <x:v>去武器化</x:v>
      </x:c>
      <x:c r="I101" s="15" t="str"/>
      <x:c r="J101" s="15" t="str"/>
      <x:c r="K101" s="15" t="str">
        <x:f>IF(I101="","",IF(I101=C101,"正確","錯誤"))</x:f>
      </x:c>
      <x:c r="L101" s="15" t="str"/>
      <x:c r="M101" s="15" t="str"/>
    </x:row>
  </x:sheetData>
  <x:conditionalFormatting sqref="B2:B101">
    <x:cfRule type="expression" dxfId="0" priority="1">
      <x:formula>$B2="正常"</x:formula>
    </x:cfRule>
    <x:cfRule type="expression" dxfId="1" priority="2">
      <x:formula>$B2="灰色防詐內容"</x:formula>
    </x:cfRule>
    <x:cfRule type="expression" dxfId="2" priority="3">
      <x:formula>$B2="高風險公開情資"</x:formula>
    </x:cfRule>
  </x:conditionalFormatting>
  <x:conditionalFormatting sqref="K2:K101">
    <x:cfRule type="expression" dxfId="3" priority="4">
      <x:formula>$K2="正確"</x:formula>
    </x:cfRule>
    <x:cfRule type="expression" dxfId="4" priority="5">
      <x:formula>$K2="錯誤"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4b5feeeb954b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</x:cols>
  <x:sheetData>
    <x:row r="1">
      <x:c r="A1" s="19" t="str">
        <x:v>AI 防詐盾牌｜真實網站驗證統計摘要</x:v>
      </x:c>
      <x:c r="B1" t="str"/>
      <x:c r="C1" t="str"/>
      <x:c r="D1" t="str"/>
    </x:row>
    <x:row r="2">
      <x:c r="A2" s="12" t="str">
        <x:v>說明</x:v>
      </x:c>
      <x:c r="B2" s="12" t="str">
        <x:v>先把『真實網址測試清單』的 I 欄系統判斷填入 safe / danger，K 欄會自動判斷正確或錯誤。</x:v>
      </x:c>
      <x:c r="C2" s="12" t="str"/>
      <x:c r="D2" s="12" t="str"/>
    </x:row>
    <x:row r="3">
      <x:c r="A3" s="24" t="str">
        <x:v>總筆數</x:v>
      </x:c>
      <x:c r="B3" s="25" t="n">
        <x:f>COUNTA('真實網址測試清單'!A2:A101)</x:f>
        <x:v>100</x:v>
      </x:c>
      <x:c r="C3" s="12" t="str"/>
      <x:c r="D3" s="12" t="str"/>
    </x:row>
    <x:row r="4">
      <x:c r="A4" s="26" t="str">
        <x:v>正常網站筆數</x:v>
      </x:c>
      <x:c r="B4" s="27" t="n">
        <x:f>COUNTIF('真實網址測試清單'!B2:B101,"正常")</x:f>
        <x:v>50</x:v>
      </x:c>
      <x:c r="C4" s="12" t="str"/>
      <x:c r="D4" s="12" t="str"/>
    </x:row>
    <x:row r="5">
      <x:c r="A5" s="26" t="str">
        <x:v>灰色內容筆數</x:v>
      </x:c>
      <x:c r="B5" s="27" t="n">
        <x:f>COUNTIF('真實網址測試清單'!B2:B101,"灰色防詐內容")</x:f>
        <x:v>20</x:v>
      </x:c>
      <x:c r="C5" s="12" t="str"/>
      <x:c r="D5" s="12" t="str"/>
    </x:row>
    <x:row r="6">
      <x:c r="A6" s="26" t="str">
        <x:v>高風險筆數</x:v>
      </x:c>
      <x:c r="B6" s="27" t="n">
        <x:f>COUNTIF('真實網址測試清單'!B2:B101,"高風險公開情資")</x:f>
        <x:v>30</x:v>
      </x:c>
      <x:c r="C6" s="12" t="str"/>
      <x:c r="D6" s="12" t="str"/>
    </x:row>
    <x:row r="7">
      <x:c r="A7" s="26" t="str">
        <x:v>已測筆數</x:v>
      </x:c>
      <x:c r="B7" s="27" t="n">
        <x:f>COUNTIF('真實網址測試清單'!I2:I101,"&lt;&gt;")</x:f>
        <x:v>100</x:v>
      </x:c>
      <x:c r="C7" s="12" t="str"/>
      <x:c r="D7" s="12" t="str"/>
    </x:row>
    <x:row r="8">
      <x:c r="A8" s="26" t="str">
        <x:v>正確筆數</x:v>
      </x:c>
      <x:c r="B8" s="27" t="n">
        <x:f>COUNTIF('真實網址測試清單'!K2:K101,"正確")</x:f>
        <x:v>0</x:v>
      </x:c>
      <x:c r="C8" s="12" t="str"/>
      <x:c r="D8" s="12" t="str"/>
    </x:row>
    <x:row r="9">
      <x:c r="A9" s="26" t="str">
        <x:v>錯誤筆數</x:v>
      </x:c>
      <x:c r="B9" s="27" t="n">
        <x:f>COUNTIF('真實網址測試清單'!K2:K101,"錯誤")</x:f>
        <x:v>0</x:v>
      </x:c>
      <x:c r="C9" s="12" t="str"/>
      <x:c r="D9" s="12" t="str"/>
    </x:row>
    <x:row r="10">
      <x:c r="A10" s="26" t="str">
        <x:v>整體準確率</x:v>
      </x:c>
      <x:c r="B10" s="28" t="n">
        <x:f>IF(B7=0,"",B8/B7)</x:f>
        <x:v>0</x:v>
      </x:c>
      <x:c r="C10" s="12" t="str"/>
      <x:c r="D10" s="12" t="str"/>
    </x:row>
    <x:row r="11">
      <x:c r="A11" s="26" t="str">
        <x:v>正常網站誤判數 FP</x:v>
      </x:c>
      <x:c r="B11" s="28" t="n">
        <x:f>COUNTIFS('真實網址測試清單'!B2:B101,"正常",'真實網址測試清單'!I2:I101,"danger")</x:f>
        <x:v>0</x:v>
      </x:c>
      <x:c r="C11" s="12" t="str"/>
      <x:c r="D11" s="12" t="str"/>
    </x:row>
    <x:row r="12">
      <x:c r="A12" s="26" t="str">
        <x:v>正常網站誤判率</x:v>
      </x:c>
      <x:c r="B12" s="28" t="n">
        <x:f>IF(B4=0,"",B11/B4)</x:f>
        <x:v>0</x:v>
      </x:c>
      <x:c r="C12" s="12" t="str"/>
      <x:c r="D12" s="12" t="str"/>
    </x:row>
    <x:row r="13">
      <x:c r="A13" s="26" t="str">
        <x:v>高風險漏判數 FN</x:v>
      </x:c>
      <x:c r="B13" s="28" t="n">
        <x:f>COUNTIFS('真實網址測試清單'!B2:B101,"高風險公開情資",'真實網址測試清單'!I2:I101,"safe")</x:f>
        <x:v>0</x:v>
      </x:c>
      <x:c r="C13" s="12" t="str"/>
      <x:c r="D13" s="12" t="str"/>
    </x:row>
    <x:row r="14">
      <x:c r="A14" s="26" t="str">
        <x:v>高風險漏判率</x:v>
      </x:c>
      <x:c r="B14" s="28" t="n">
        <x:f>IF(B6=0,"",B13/B6)</x:f>
        <x:v>0</x:v>
      </x:c>
      <x:c r="C14" s="12" t="str"/>
      <x:c r="D14" s="12" t="str"/>
    </x:row>
    <x:row r="15">
      <x:c r="A15" s="29" t="str">
        <x:v>高風險抓到率</x:v>
      </x:c>
      <x:c r="B15" s="30" t="n">
        <x:f>IF(B6=0,"",1-B14)</x:f>
        <x:v>1</x:v>
      </x:c>
      <x:c r="C15" s="12" t="str"/>
      <x:c r="D15" s="12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8" t="str">
        <x:v>使用說明</x:v>
      </x:c>
    </x:row>
    <x:row r="2">
      <x:c r="A2" s="12" t="str">
        <x:v>1. A～H 欄已經整理好 100 筆真實網址測試清單：50 筆正常網站、20 筆灰色防詐內容、30 筆高風險公開情資。</x:v>
      </x:c>
    </x:row>
    <x:row r="3">
      <x:c r="A3" s="12" t="str">
        <x:v>2. 高風險公開情資採去武器化格式，例如 hxxps、[.]，不要用日常瀏覽器直接開啟。</x:v>
      </x:c>
    </x:row>
    <x:row r="4">
      <x:c r="A4" s="12" t="str">
        <x:v>3. 真正批次測試時，請只在隔離測試環境或 API 批次程式中把 hxxp 還原為 http、把 [.] 還原為 .。</x:v>
      </x:c>
    </x:row>
    <x:row r="5">
      <x:c r="A5" s="12" t="str">
        <x:v>4. 系統跑完後，把結果填入 I 欄：safe 或 danger；J 欄填分數；M 欄填系統理由。</x:v>
      </x:c>
    </x:row>
    <x:row r="6">
      <x:c r="A6" s="12" t="str">
        <x:v>5. K 欄會自動比對 C 欄預期結果與 I 欄系統判斷，統計摘要會自動更新準確率、誤判率與漏判率。</x:v>
      </x:c>
    </x:row>
    <x:row r="7">
      <x:c r="A7" s="12" t="str">
        <x:v>6. B 組灰色防詐內容預期為 safe，目的是測試系統是否只是看到詐騙、匯款、驗證碼等字詞就誤判。</x:v>
      </x:c>
    </x:row>
    <x:row r="8">
      <x:c r="A8" s="12" t="str">
        <x:v>7. 高風險公開情資來自 OpenPhish public feed，URL 有時會很快失效；測試報告請記錄測試日期。</x:v>
      </x:c>
    </x:row>
    <x:row r="9">
      <x:c r="A9" s="12" t="str">
        <x:v>資料來源</x:v>
      </x:c>
    </x:row>
    <x:row r="10">
      <x:c r="A10" s="12" t="str">
        <x:v>OpenPhish public feed: https://openphish.com/feed.txt</x:v>
      </x:c>
    </x:row>
    <x:row r="11">
      <x:c r="A11" s="12" t="str">
        <x:v>PhishTank: https://www.phishtank.net/</x:v>
      </x:c>
    </x:row>
    <x:row r="12">
      <x:c r="A12" s="12" t="str">
        <x:v>URLhaus: https://urlhaus.abuse.ch/</x:v>
      </x:c>
    </x:row>
    <x:row r="13">
      <x:c r="A13" s="12" t="str">
        <x:v>Google Safe Browsing API: https://developers.google.com/safe-browsing/reference/rpc</x:v>
      </x:c>
    </x:row>
  </x:sheetData>
  <x:pageMargins left="0.7" right="0.7" top="0.75" bottom="0.75" header="0.3" footer="0.3"/>
</x:worksheet>
</file>